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1bdfe0e69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6e304b707d4606"/>
    <x:sheet xmlns:r="http://schemas.openxmlformats.org/officeDocument/2006/relationships" name="Master Hands" sheetId="2" r:id="R9b09079e29e4472e"/>
    <x:sheet xmlns:r="http://schemas.openxmlformats.org/officeDocument/2006/relationships" name="Episode Coverage" sheetId="3" r:id="R41d860fec95846c2"/>
    <x:sheet xmlns:r="http://schemas.openxmlformats.org/officeDocument/2006/relationships" name="Tag Dictionary" sheetId="4" r:id="R96f9fd54d2244c2f"/>
    <x:sheet xmlns:r="http://schemas.openxmlformats.org/officeDocument/2006/relationships" name="Sources" sheetId="5" r:id="Rc58728cb9cba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73B2B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3B2B"/>
      </x:patternFill>
    </x:fill>
    <x:fill>
      <x:patternFill patternType="solid">
        <x:fgColor rgb="FFF7F4EC"/>
      </x:patternFill>
    </x:fill>
    <x:fill>
      <x:patternFill patternType="solid">
        <x:fgColor rgb="FF0B4F3A"/>
      </x:patternFill>
    </x:fill>
    <x:fill>
      <x:patternFill patternType="solid">
        <x:fgColor rgb="FFFBF3DF"/>
      </x:patternFill>
    </x:fill>
    <x:fill>
      <x:patternFill patternType="solid">
        <x:fgColor rgb="FFEAF3EF"/>
      </x:patternFill>
    </x:fill>
    <x:fill>
      <x:patternFill patternType="solid">
        <x:fgColor rgb="FFEAF3EF"/>
      </x:patternFill>
    </x:fill>
    <x:fill>
      <x:patternFill patternType="solid">
        <x:fgColor rgb="FFFBF3DF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4" borderId="2" xfId="0" applyNumberFormat="1" applyFont="1" applyFill="1" applyBorder="1"/>
    <x:xf numFmtId="0" fontId="0" fillId="4" borderId="14" xfId="0" applyNumberFormat="1" applyFont="1" applyFill="1" applyBorder="1"/>
    <x:xf numFmtId="0" fontId="0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4" xfId="0" applyNumberFormat="1" applyFont="1" applyFill="1" applyBorder="1"/>
    <x:xf numFmtId="0" fontId="3" fillId="4" borderId="3" xfId="0" applyNumberFormat="1" applyFont="1" applyFill="1" applyBorder="1"/>
    <x:xf numFmtId="0" fontId="3" fillId="4" borderId="14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/>
    <x:xf numFmtId="0" fontId="0" fillId="4" borderId="16" xfId="0" applyNumberFormat="1" applyFont="1" applyFill="1" applyBorder="1"/>
    <x:xf numFmtId="0" fontId="0" fillId="4" borderId="9" xfId="0" applyNumberFormat="1" applyFont="1" applyFill="1" applyBorder="1"/>
    <x:xf numFmtId="0" fontId="3" fillId="4" borderId="8" xfId="0" applyNumberFormat="1" applyFont="1" applyFill="1" applyBorder="1"/>
    <x:xf numFmtId="0" fontId="3" fillId="4" borderId="16" xfId="0" applyNumberFormat="1" applyFont="1" applyFill="1" applyBorder="1"/>
    <x:xf numFmtId="0" fontId="3" fillId="4" borderId="9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4" fillId="5" borderId="4" xfId="0" applyNumberFormat="1" applyFont="1" applyFill="1" applyBorder="1"/>
    <x:xf numFmtId="0" fontId="4" fillId="5" borderId="6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4" fillId="5" borderId="10" xfId="0" applyNumberFormat="1" applyFont="1" applyFill="1" applyBorder="1"/>
    <x:xf numFmtId="0" fontId="4" fillId="5" borderId="12" xfId="0" applyNumberFormat="1" applyFont="1" applyFill="1" applyBorder="1"/>
    <x:xf numFmtId="0" fontId="0" fillId="3" borderId="5" xfId="0" applyNumberFormat="1" applyFont="1" applyFill="1" applyBorder="1"/>
    <x:xf numFmtId="0" fontId="0" fillId="3" borderId="15" xfId="0" applyNumberFormat="1" applyFont="1" applyFill="1" applyBorder="1"/>
    <x:xf numFmtId="0" fontId="0" fillId="3" borderId="7" xfId="0" applyNumberFormat="1" applyFont="1" applyFill="1" applyBorder="1"/>
    <x:xf numFmtId="0" fontId="2" fillId="3" borderId="5" xfId="0" applyNumberFormat="1" applyFont="1" applyFill="1" applyBorder="1"/>
    <x:xf numFmtId="0" fontId="2" fillId="3" borderId="15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3" borderId="11" xfId="0" applyNumberFormat="1" applyFont="1" applyFill="1" applyBorder="1"/>
    <x:xf numFmtId="0" fontId="0" fillId="3" borderId="17" xfId="0" applyNumberFormat="1" applyFont="1" applyFill="1" applyBorder="1"/>
    <x:xf numFmtId="0" fontId="0" fillId="3" borderId="13" xfId="0" applyNumberFormat="1" applyFont="1" applyFill="1" applyBorder="1"/>
    <x:xf numFmtId="0" fontId="2" fillId="3" borderId="11" xfId="0" applyNumberFormat="1" applyFont="1" applyFill="1" applyBorder="1"/>
    <x:xf numFmtId="0" fontId="2" fillId="3" borderId="17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73B2B"/>
      </x:font>
      <x:fill>
        <x:patternFill>
          <x:bgColor rgb="FFDDF3E5"/>
        </x:patternFill>
      </x:fill>
    </x:dxf>
    <x:dxf>
      <x:font>
        <x:b/>
        <x:color rgb="FF7A5A00"/>
      </x:font>
      <x:fill>
        <x:patternFill>
          <x:bgColor rgb="FFFFF1C9"/>
        </x:patternFill>
      </x:fill>
    </x:dxf>
    <x:dxf>
      <x:font>
        <x:b/>
        <x:color rgb="FF9F1D1D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ce22c50be4e89" /><Relationship Type="http://schemas.openxmlformats.org/officeDocument/2006/relationships/theme" Target="/xl/theme/theme1.xml" Id="R724f7af6f0cd4182" /><Relationship Type="http://schemas.openxmlformats.org/officeDocument/2006/relationships/sharedStrings" Target="/xl/sharedStrings.xml" Id="Re4f1c1965cf54979" /><Relationship Type="http://schemas.openxmlformats.org/officeDocument/2006/relationships/worksheet" Target="/xl/worksheets/sheet1.xml" Id="R0b6e304b707d4606" /><Relationship Type="http://schemas.openxmlformats.org/officeDocument/2006/relationships/worksheet" Target="/xl/worksheets/sheet2.xml" Id="R9b09079e29e4472e" /><Relationship Type="http://schemas.openxmlformats.org/officeDocument/2006/relationships/worksheet" Target="/xl/worksheets/sheet3.xml" Id="R41d860fec95846c2" /><Relationship Type="http://schemas.openxmlformats.org/officeDocument/2006/relationships/worksheet" Target="/xl/worksheets/sheet4.xml" Id="R96f9fd54d2244c2f" /><Relationship Type="http://schemas.openxmlformats.org/officeDocument/2006/relationships/worksheet" Target="/xl/worksheets/sheet5.xml" Id="Rc58728cb9cba43ed" /></Relationships>
</file>

<file path=xl/tables/table1.xml><?xml version="1.0" encoding="utf-8"?>
<x:table xmlns:x="http://schemas.openxmlformats.org/spreadsheetml/2006/main" id="1" name="MasterHandsTable" displayName="MasterHandsTable" ref="A1:AI19" headerRowCount="1">
  <x:tableColumns count="35">
    <x:tableColumn id="1" name="Hand_ID"/>
    <x:tableColumn id="2" name="Player"/>
    <x:tableColumn id="3" name="Series_Season"/>
    <x:tableColumn id="4" name="Episode"/>
    <x:tableColumn id="5" name="Episode_Timestamp"/>
    <x:tableColumn id="6" name="Tournament_Year"/>
    <x:tableColumn id="7" name="Tournament"/>
    <x:tableColumn id="8" name="Stage"/>
    <x:tableColumn id="9" name="Players_Remaining"/>
    <x:tableColumn id="10" name="Paid_Places"/>
    <x:tableColumn id="11" name="Blinds"/>
    <x:tableColumn id="12" name="Effective_Stack_bb"/>
    <x:tableColumn id="13" name="Hero_Position"/>
    <x:tableColumn id="14" name="Villain_Position"/>
    <x:tableColumn id="15" name="Hero_Hand"/>
    <x:tableColumn id="16" name="Villain_Hand"/>
    <x:tableColumn id="17" name="Preflop_Action"/>
    <x:tableColumn id="18" name="Flop"/>
    <x:tableColumn id="19" name="Flop_Action"/>
    <x:tableColumn id="20" name="Turn"/>
    <x:tableColumn id="21" name="Turn_Action"/>
    <x:tableColumn id="22" name="River"/>
    <x:tableColumn id="23" name="River_Action"/>
    <x:tableColumn id="24" name="Outcome"/>
    <x:tableColumn id="25" name="Spot_Type"/>
    <x:tableColumn id="26" name="Opponent_Type"/>
    <x:tableColumn id="27" name="Pressure_Type"/>
    <x:tableColumn id="28" name="Live_Read_or_Exploit"/>
    <x:tableColumn id="29" name="Key_Lesson"/>
    <x:tableColumn id="30" name="Graphic_Recreation_Status"/>
    <x:tableColumn id="31" name="Confidence"/>
    <x:tableColumn id="32" name="Source_Type"/>
    <x:tableColumn id="33" name="Primary_Source_URL"/>
    <x:tableColumn id="34" name="Secondary_Source_URL"/>
    <x:tableColumn id="35" name="Source_Notes"/>
  </x:tableColumns>
  <x:tableStyleInfo name="TableStyleMedium2" showRowStripes="1"/>
</x:table>
</file>

<file path=xl/tables/table2.xml><?xml version="1.0" encoding="utf-8"?>
<x:table xmlns:x="http://schemas.openxmlformats.org/spreadsheetml/2006/main" id="2" name="EpisodeCoverageTable" displayName="EpisodeCoverageTable" ref="A1:J29" headerRowCount="1">
  <x:tableColumns count="10">
    <x:tableColumn id="1" name="Player"/>
    <x:tableColumn id="2" name="Episode"/>
    <x:tableColumn id="3" name="Primary_Focus"/>
    <x:tableColumn id="4" name="Verified_Stage"/>
    <x:tableColumn id="5" name="Starting_or_Known_Stack"/>
    <x:tableColumn id="6" name="Known_Field_Context"/>
    <x:tableColumn id="7" name="Research_Status"/>
    <x:tableColumn id="8" name="Hands_Extracted_Count"/>
    <x:tableColumn id="9" name="Video_or_Primary_URL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gDictionaryTable" displayName="TagDictionaryTable" ref="A1:C33" headerRowCount="1">
  <x:tableColumns count="3">
    <x:tableColumn id="1" name="Tag_Family"/>
    <x:tableColumn id="2" name="Allowed_Value"/>
    <x:tableColumn id="3" name="Use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4" headerRowCount="1">
  <x:tableColumns count="3">
    <x:tableColumn id="1" name="Source_Name"/>
    <x:tableColumn id="2" name="URL"/>
    <x:tableColumn id="3" name="Primary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71773a5dd46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22a10976cb4e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d26870decb45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ffd6413c4949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WSOP Large-Field Tournament Hand Database — Version 2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2" t="str">
        <x:v>Purpose: one row per strategically meaningful hand or stage-specific decision, structured so the data can later regenerate hand graphics, study sheets, filters, or a searchable casebook.</x:v>
      </x:c>
      <x:c r="B3" s="12"/>
      <x:c r="C3" s="12"/>
      <x:c r="D3" s="12"/>
      <x:c r="E3" s="12"/>
      <x:c r="F3" s="12"/>
      <x:c r="G3" s="12"/>
      <x:c r="H3" s="12"/>
    </x:row>
    <x:row r="5">
      <x:c r="A5" s="26" t="str">
        <x:v>Metric</x:v>
      </x:c>
      <x:c r="B5" s="27" t="str">
        <x:v>Value</x:v>
      </x:c>
      <x:c r="D5" s="26" t="str">
        <x:v>How to use the confidence and reconstruction fields</x:v>
      </x:c>
      <x:c r="E5" s="61"/>
      <x:c r="F5" s="61"/>
      <x:c r="G5" s="61"/>
      <x:c r="H5" s="27"/>
    </x:row>
    <x:row r="6">
      <x:c r="A6" s="28" t="str">
        <x:v>Master rows</x:v>
      </x:c>
      <x:c r="B6" s="29" t="n">
        <x:f>COUNTA('Master Hands'!A2:A1000)</x:f>
        <x:v>18</x:v>
      </x:c>
      <x:c r="D6" s="71" t="str">
        <x:v>High confidence</x:v>
      </x:c>
      <x:c r="E6" s="12" t="str">
        <x:v>Direct public recap/report verifies the strategic action; exact cards may still be missing if the source stored them only as images.</x:v>
      </x:c>
      <x:c r="F6" s="12"/>
      <x:c r="G6" s="12"/>
      <x:c r="H6" s="83"/>
    </x:row>
    <x:row r="7">
      <x:c r="A7" s="28" t="str">
        <x:v>High-confidence rows</x:v>
      </x:c>
      <x:c r="B7" s="29" t="n">
        <x:f>COUNTIF('Master Hands'!AE2:AE1000,"High")</x:f>
        <x:v>17</x:v>
      </x:c>
      <x:c r="D7" s="71" t="str">
        <x:v>Medium confidence</x:v>
      </x:c>
      <x:c r="E7" s="12" t="str">
        <x:v>The sequence is real, but exact episode placement, timestamp, board cards, or hero cards still need video verification.</x:v>
      </x:c>
      <x:c r="F7" s="12"/>
      <x:c r="G7" s="12"/>
      <x:c r="H7" s="83"/>
    </x:row>
    <x:row r="8">
      <x:c r="A8" s="28" t="str">
        <x:v>Rows ready or mostly ready for graphics</x:v>
      </x:c>
      <x:c r="B8" s="29" t="n">
        <x:f>COUNTIF('Master Hands'!AD2:AD1000,"*complete*")+COUNTIF('Master Hands'!AD2:AD1000,"Mostly complete*")</x:f>
        <x:v>0</x:v>
      </x:c>
      <x:c r="D8" s="71" t="str">
        <x:v>Graphic status</x:v>
      </x:c>
      <x:c r="E8" s="12" t="str">
        <x:v>“Complete enough” can be rendered now. “Partial” should wait until missing card/board details are extracted from video.</x:v>
      </x:c>
      <x:c r="F8" s="12"/>
      <x:c r="G8" s="12"/>
      <x:c r="H8" s="83"/>
    </x:row>
    <x:row r="9">
      <x:c r="A9" s="28" t="str">
        <x:v>Episodes in research queue</x:v>
      </x:c>
      <x:c r="B9" s="29" t="n">
        <x:f>COUNTA('Episode Coverage'!A2:A1000)</x:f>
        <x:v>28</x:v>
      </x:c>
      <x:c r="D9" s="72" t="str">
        <x:v>Important</x:v>
      </x:c>
      <x:c r="E9" s="84" t="str">
        <x:v>Do not invent missing suits, board cards, exact stacks, or episode timestamps. Preserve unknowns explicitly.</x:v>
      </x:c>
      <x:c r="F9" s="84"/>
      <x:c r="G9" s="84"/>
      <x:c r="H9" s="85"/>
    </x:row>
    <x:row r="10">
      <x:c r="A10" s="30" t="str">
        <x:v>Current extraction scope</x:v>
      </x:c>
      <x:c r="B10" s="31" t="str">
        <x:v>Adrián EP03–EP14 + Leo EP11–EP26</x:v>
      </x:c>
    </x:row>
    <x:row r="12" ht="44" customHeight="1">
      <x:c r="A12" s="97" t="str">
        <x:v>Recommended next extraction pass: work episode-by-episode from the official videos, capture every meaningful decision with timestamp, then upgrade partial rows to fully recreatable graphic rows.</x:v>
      </x:c>
      <x:c r="B12" s="97"/>
      <x:c r="C12" s="97"/>
      <x:c r="D12" s="97"/>
      <x:c r="E12" s="97"/>
      <x:c r="F12" s="97"/>
      <x:c r="G12" s="97"/>
      <x:c r="H12" s="97"/>
    </x:row>
    <x:row r="14" ht="42" customHeight="1">
      <x:c r="A14" s="132" t="str">
        <x:v>Version 2: added AM-008 (86o call-down), AM-009 (66 multiway value line), and AM-010 (K5s river bluff); also logged later-episode extraction candidates for EP08 and EP09.</x:v>
      </x:c>
      <x:c r="B14" s="132"/>
      <x:c r="C14" s="132"/>
      <x:c r="D14" s="132"/>
      <x:c r="E14" s="132"/>
      <x:c r="F14" s="132"/>
      <x:c r="G14" s="132"/>
      <x:c r="H14" s="132"/>
    </x:row>
  </x:sheetData>
  <x:mergeCells>
    <x:mergeCell ref="A1:H1"/>
    <x:mergeCell ref="A3:H3"/>
    <x:mergeCell ref="D5:H5"/>
    <x:mergeCell ref="E6:H6"/>
    <x:mergeCell ref="E7:H7"/>
    <x:mergeCell ref="E8:H8"/>
    <x:mergeCell ref="E9:H9"/>
    <x:mergeCell ref="A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30" hidden="0" customWidth="1"/>
    <x:col min="4" max="4" width="24" hidden="0" customWidth="1"/>
    <x:col min="5" max="5" width="15" hidden="0" customWidth="1"/>
    <x:col min="6" max="6" width="11" hidden="0" customWidth="1"/>
    <x:col min="7" max="7" width="22" hidden="0" customWidth="1"/>
    <x:col min="8" max="8" width="24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20" hidden="0" customWidth="1"/>
    <x:col min="14" max="14" width="22" hidden="0" customWidth="1"/>
    <x:col min="15" max="15" width="20" hidden="0" customWidth="1"/>
    <x:col min="16" max="16" width="20" hidden="0" customWidth="1"/>
    <x:col min="17" max="17" width="48" hidden="0" customWidth="1"/>
    <x:col min="18" max="18" width="32" hidden="0" customWidth="1"/>
    <x:col min="19" max="19" width="48" hidden="0" customWidth="1"/>
    <x:col min="20" max="20" width="28" hidden="0" customWidth="1"/>
    <x:col min="21" max="21" width="42" hidden="0" customWidth="1"/>
    <x:col min="22" max="22" width="28" hidden="0" customWidth="1"/>
    <x:col min="23" max="23" width="42" hidden="0" customWidth="1"/>
    <x:col min="24" max="24" width="32" hidden="0" customWidth="1"/>
    <x:col min="25" max="25" width="32" hidden="0" customWidth="1"/>
    <x:col min="26" max="26" width="28" hidden="0" customWidth="1"/>
    <x:col min="27" max="27" width="28" hidden="0" customWidth="1"/>
    <x:col min="28" max="28" width="48" hidden="0" customWidth="1"/>
    <x:col min="29" max="29" width="52" hidden="0" customWidth="1"/>
    <x:col min="30" max="30" width="40" hidden="0" customWidth="1"/>
    <x:col min="31" max="31" width="12" hidden="0" customWidth="1"/>
    <x:col min="32" max="32" width="24" hidden="0" customWidth="1"/>
    <x:col min="33" max="33" width="48" hidden="0" customWidth="1"/>
    <x:col min="34" max="34" width="48" hidden="0" customWidth="1"/>
    <x:col min="35" max="35" width="56" hidden="0" customWidth="1"/>
  </x:cols>
  <x:sheetData>
    <x:row r="1" ht="38" customHeight="1">
      <x:c r="A1" s="104" t="str">
        <x:v>Hand_ID</x:v>
      </x:c>
      <x:c r="B1" s="104" t="str">
        <x:v>Player</x:v>
      </x:c>
      <x:c r="C1" s="104" t="str">
        <x:v>Series_Season</x:v>
      </x:c>
      <x:c r="D1" s="104" t="str">
        <x:v>Episode</x:v>
      </x:c>
      <x:c r="E1" s="104" t="str">
        <x:v>Episode_Timestamp</x:v>
      </x:c>
      <x:c r="F1" s="104" t="str">
        <x:v>Tournament_Year</x:v>
      </x:c>
      <x:c r="G1" s="104" t="str">
        <x:v>Tournament</x:v>
      </x:c>
      <x:c r="H1" s="104" t="str">
        <x:v>Stage</x:v>
      </x:c>
      <x:c r="I1" s="104" t="str">
        <x:v>Players_Remaining</x:v>
      </x:c>
      <x:c r="J1" s="104" t="str">
        <x:v>Paid_Places</x:v>
      </x:c>
      <x:c r="K1" s="104" t="str">
        <x:v>Blinds</x:v>
      </x:c>
      <x:c r="L1" s="104" t="str">
        <x:v>Effective_Stack_bb</x:v>
      </x:c>
      <x:c r="M1" s="104" t="str">
        <x:v>Hero_Position</x:v>
      </x:c>
      <x:c r="N1" s="104" t="str">
        <x:v>Villain_Position</x:v>
      </x:c>
      <x:c r="O1" s="104" t="str">
        <x:v>Hero_Hand</x:v>
      </x:c>
      <x:c r="P1" s="104" t="str">
        <x:v>Villain_Hand</x:v>
      </x:c>
      <x:c r="Q1" s="104" t="str">
        <x:v>Preflop_Action</x:v>
      </x:c>
      <x:c r="R1" s="104" t="str">
        <x:v>Flop</x:v>
      </x:c>
      <x:c r="S1" s="104" t="str">
        <x:v>Flop_Action</x:v>
      </x:c>
      <x:c r="T1" s="104" t="str">
        <x:v>Turn</x:v>
      </x:c>
      <x:c r="U1" s="104" t="str">
        <x:v>Turn_Action</x:v>
      </x:c>
      <x:c r="V1" s="104" t="str">
        <x:v>River</x:v>
      </x:c>
      <x:c r="W1" s="104" t="str">
        <x:v>River_Action</x:v>
      </x:c>
      <x:c r="X1" s="104" t="str">
        <x:v>Outcome</x:v>
      </x:c>
      <x:c r="Y1" s="104" t="str">
        <x:v>Spot_Type</x:v>
      </x:c>
      <x:c r="Z1" s="104" t="str">
        <x:v>Opponent_Type</x:v>
      </x:c>
      <x:c r="AA1" s="104" t="str">
        <x:v>Pressure_Type</x:v>
      </x:c>
      <x:c r="AB1" s="104" t="str">
        <x:v>Live_Read_or_Exploit</x:v>
      </x:c>
      <x:c r="AC1" s="104" t="str">
        <x:v>Key_Lesson</x:v>
      </x:c>
      <x:c r="AD1" s="104" t="str">
        <x:v>Graphic_Recreation_Status</x:v>
      </x:c>
      <x:c r="AE1" s="104" t="str">
        <x:v>Confidence</x:v>
      </x:c>
      <x:c r="AF1" s="104" t="str">
        <x:v>Source_Type</x:v>
      </x:c>
      <x:c r="AG1" s="104" t="str">
        <x:v>Primary_Source_URL</x:v>
      </x:c>
      <x:c r="AH1" s="104" t="str">
        <x:v>Secondary_Source_URL</x:v>
      </x:c>
      <x:c r="AI1" s="104" t="str">
        <x:v>Source_Notes</x:v>
      </x:c>
    </x:row>
    <x:row r="2">
      <x:c r="A2" s="111" t="str">
        <x:v>AM-001</x:v>
      </x:c>
      <x:c r="B2" s="111" t="str">
        <x:v>Adrián Mateos</x:v>
      </x:c>
      <x:c r="C2" s="111" t="str">
        <x:v>Inside the Mind of a Pro — 2024 WSOP</x:v>
      </x:c>
      <x:c r="D2" s="111" t="str">
        <x:v>EP03</x:v>
      </x:c>
      <x:c r="E2" s="111" t="str"/>
      <x:c r="F2" s="111" t="n">
        <x:v>2024</x:v>
      </x:c>
      <x:c r="G2" s="111" t="str">
        <x:v>WSOP Main Event</x:v>
      </x:c>
      <x:c r="H2" s="111" t="str">
        <x:v>Day 1</x:v>
      </x:c>
      <x:c r="I2" s="111" t="str"/>
      <x:c r="J2" s="111" t="str"/>
      <x:c r="K2" s="111" t="str"/>
      <x:c r="L2" s="111" t="str">
        <x:v>200+</x:v>
      </x:c>
      <x:c r="M2" s="111" t="str">
        <x:v>Unknown/OOP</x:v>
      </x:c>
      <x:c r="N2" s="111" t="str">
        <x:v>Button</x:v>
      </x:c>
      <x:c r="O2" s="111" t="str">
        <x:v>T9s</x:v>
      </x:c>
      <x:c r="P2" s="111" t="str">
        <x:v>Unknown</x:v>
      </x:c>
      <x:c r="Q2" s="111" t="str">
        <x:v>Mateos opens; button calls.</x:v>
      </x:c>
      <x:c r="R2" s="111" t="str">
        <x:v>Second-pair texture; exact board not preserved in text recap</x:v>
      </x:c>
      <x:c r="S2" s="111" t="str">
        <x:v>Mateos checks; villain bets 1,500 into 4,100; Mateos calls.</x:v>
      </x:c>
      <x:c r="T2" s="111" t="str">
        <x:v>A (suit unknown)</x:v>
      </x:c>
      <x:c r="U2" s="111" t="str">
        <x:v>Check-check.</x:v>
      </x:c>
      <x:c r="V2" s="111" t="str">
        <x:v>Unknown</x:v>
      </x:c>
      <x:c r="W2" s="111" t="str">
        <x:v>Check-check.</x:v>
      </x:c>
      <x:c r="X2" s="111" t="str">
        <x:v>Mateos wins at showdown.</x:v>
      </x:c>
      <x:c r="Y2" s="111" t="str">
        <x:v>Second pair OOP / pot control</x:v>
      </x:c>
      <x:c r="Z2" s="111" t="str">
        <x:v>Unknown opponent</x:v>
      </x:c>
      <x:c r="AA2" s="111" t="str">
        <x:v>Normal chip EV</x:v>
      </x:c>
      <x:c r="AB2" s="111" t="str">
        <x:v>No major live read; structural decision based on position and hand strength.</x:v>
      </x:c>
      <x:c r="AC2" s="111" t="str">
        <x:v>Deep stacks do not require bloating marginal one-pair pots.</x:v>
      </x:c>
      <x:c r="AD2" s="111" t="str">
        <x:v>Partial — cards/board need video verification</x:v>
      </x:c>
      <x:c r="AE2" s="111" t="str">
        <x:v>High</x:v>
      </x:c>
      <x:c r="AF2" s="111" t="str">
        <x:v>Full written episode recap</x:v>
      </x:c>
      <x:c r="AG2" s="111" t="str">
        <x:v>https://www.gipsyteam.com/news/06-03-2025/inside-the-mind-of-a-pro-adrian-mateos-on-day-1-of-the-2024-wsop-main-event</x:v>
      </x:c>
      <x:c r="AH2" s="111" t="str">
        <x:v>https://www.youtube.com/watch?v=LOzYpTgw6n0</x:v>
      </x:c>
      <x:c r="AI2" s="111" t="str">
        <x:v>Street-by-street action verified from recap; exact flop and river cards were image-only in source.</x:v>
      </x:c>
    </x:row>
    <x:row r="3">
      <x:c r="A3" s="111" t="str">
        <x:v>AM-002</x:v>
      </x:c>
      <x:c r="B3" s="111" t="str">
        <x:v>Adrián Mateos</x:v>
      </x:c>
      <x:c r="C3" s="111" t="str">
        <x:v>Inside the Mind of a Pro — 2024 WSOP</x:v>
      </x:c>
      <x:c r="D3" s="111" t="str">
        <x:v>EP03</x:v>
      </x:c>
      <x:c r="E3" s="111" t="str"/>
      <x:c r="F3" s="111" t="n">
        <x:v>2024</x:v>
      </x:c>
      <x:c r="G3" s="111" t="str">
        <x:v>WSOP Main Event</x:v>
      </x:c>
      <x:c r="H3" s="111" t="str">
        <x:v>Day 1</x:v>
      </x:c>
      <x:c r="I3" s="111" t="str"/>
      <x:c r="J3" s="111" t="str"/>
      <x:c r="K3" s="111" t="str"/>
      <x:c r="L3" s="111" t="str">
        <x:v>200+</x:v>
      </x:c>
      <x:c r="M3" s="111" t="str">
        <x:v>Big blind</x:v>
      </x:c>
      <x:c r="N3" s="111" t="str">
        <x:v>Small blind</x:v>
      </x:c>
      <x:c r="O3" s="111" t="str">
        <x:v>Unknown</x:v>
      </x:c>
      <x:c r="P3" s="111" t="str">
        <x:v>Unknown</x:v>
      </x:c>
      <x:c r="Q3" s="111" t="str">
        <x:v>Small blind professional limps with 33bb; Mateos checks back from BB.</x:v>
      </x:c>
      <x:c r="R3" s="111" t="str">
        <x:v>Unknown</x:v>
      </x:c>
      <x:c r="S3" s="111" t="str">
        <x:v>Villain checks; Mateos bets 600 into 1,800; villain calls.</x:v>
      </x:c>
      <x:c r="T3" s="111" t="str">
        <x:v>Unknown</x:v>
      </x:c>
      <x:c r="U3" s="111" t="str">
        <x:v>Mateos bets 2,200 into 3,000; villain calls.</x:v>
      </x:c>
      <x:c r="V3" s="111" t="str">
        <x:v>Unknown</x:v>
      </x:c>
      <x:c r="W3" s="111" t="str">
        <x:v>Mateos bets 5,400 into 7,400; villain folds reluctantly.</x:v>
      </x:c>
      <x:c r="X3" s="111" t="str">
        <x:v>Mateos wins without showdown.</x:v>
      </x:c>
      <x:c r="Y3" s="111" t="str">
        <x:v>Blind-vs-blind thin value</x:v>
      </x:c>
      <x:c r="Z3" s="111" t="str">
        <x:v>Professional / limited read</x:v>
      </x:c>
      <x:c r="AA3" s="111" t="str">
        <x:v>Normal chip EV</x:v>
      </x:c>
      <x:c r="AB3" s="111" t="str">
        <x:v>Mateos expects low check-raise frequency and few induced river bluffs.</x:v>
      </x:c>
      <x:c r="AC3" s="111" t="str">
        <x:v>Against passive lines, keep betting strong one-pair hands for value instead of waiting for bluffs that may never come.</x:v>
      </x:c>
      <x:c r="AD3" s="111" t="str">
        <x:v>Partial — hero hand and board need video verification</x:v>
      </x:c>
      <x:c r="AE3" s="111" t="str">
        <x:v>High</x:v>
      </x:c>
      <x:c r="AF3" s="111" t="str">
        <x:v>Full written episode recap</x:v>
      </x:c>
      <x:c r="AG3" s="111" t="str">
        <x:v>https://www.gipsyteam.com/news/06-03-2025/inside-the-mind-of-a-pro-adrian-mateos-on-day-1-of-the-2024-wsop-main-event</x:v>
      </x:c>
      <x:c r="AH3" s="111" t="str">
        <x:v>https://www.youtube.com/watch?v=LOzYpTgw6n0</x:v>
      </x:c>
      <x:c r="AI3" s="111" t="str">
        <x:v>Action and reasoning verified; cards were displayed as images in the article and not available in parsed text.</x:v>
      </x:c>
    </x:row>
    <x:row r="4">
      <x:c r="A4" s="111" t="str">
        <x:v>AM-003</x:v>
      </x:c>
      <x:c r="B4" s="111" t="str">
        <x:v>Adrián Mateos</x:v>
      </x:c>
      <x:c r="C4" s="111" t="str">
        <x:v>Inside the Mind of a Pro — 2024 WSOP</x:v>
      </x:c>
      <x:c r="D4" s="111" t="str">
        <x:v>EP03</x:v>
      </x:c>
      <x:c r="E4" s="111" t="str"/>
      <x:c r="F4" s="111" t="n">
        <x:v>2024</x:v>
      </x:c>
      <x:c r="G4" s="111" t="str">
        <x:v>WSOP Main Event</x:v>
      </x:c>
      <x:c r="H4" s="111" t="str">
        <x:v>Day 1</x:v>
      </x:c>
      <x:c r="I4" s="111" t="str"/>
      <x:c r="J4" s="111" t="str"/>
      <x:c r="K4" s="111" t="str"/>
      <x:c r="L4" s="111" t="str">
        <x:v>150+</x:v>
      </x:c>
      <x:c r="M4" s="111" t="str">
        <x:v>Early position / in position postflop</x:v>
      </x:c>
      <x:c r="N4" s="111" t="str">
        <x:v>Small blind</x:v>
      </x:c>
      <x:c r="O4" s="111" t="str">
        <x:v>AJs</x:v>
      </x:c>
      <x:c r="P4" s="111" t="str">
        <x:v>Unknown</x:v>
      </x:c>
      <x:c r="Q4" s="111" t="str">
        <x:v>Mateos opens; button calls; small blind squeezes to 7,000; Mateos calls; button folds.</x:v>
      </x:c>
      <x:c r="R4" s="111" t="str">
        <x:v>Narrow-range board; exact cards not preserved in text recap</x:v>
      </x:c>
      <x:c r="S4" s="111" t="str">
        <x:v>Villain bets 5,100 into 16,500; Mateos calls with only a gutshot and deep implied odds.</x:v>
      </x:c>
      <x:c r="T4" s="111" t="str">
        <x:v>Bad card for Mateos; exact rank unknown</x:v>
      </x:c>
      <x:c r="U4" s="111" t="str">
        <x:v>Villain checks; Mateos declines to force a bluff and checks back.</x:v>
      </x:c>
      <x:c r="V4" s="111" t="str">
        <x:v>Flush-completing card; exact rank unknown</x:v>
      </x:c>
      <x:c r="W4" s="111" t="str">
        <x:v>Villain bets 11,200 into 26,700; Mateos folds.</x:v>
      </x:c>
      <x:c r="X4" s="111" t="str">
        <x:v>Mateos loses the pot but avoids a low-EV bluff and river call.</x:v>
      </x:c>
      <x:c r="Y4" s="111" t="str">
        <x:v>Squeezed pot / avoid punt</x:v>
      </x:c>
      <x:c r="Z4" s="111" t="str">
        <x:v>Unknown deep-stacked opponent</x:v>
      </x:c>
      <x:c r="AA4" s="111" t="str">
        <x:v>Normal chip EV</x:v>
      </x:c>
      <x:c r="AB4" s="111" t="str">
        <x:v>Mateos notes Main Event players often arrive at rivers with stronger ranges than theory after checking turn.</x:v>
      </x:c>
      <x:c r="AC4" s="111" t="str">
        <x:v>Not every missed draw should become a bluff; population tendencies can make disciplined give-ups more profitable.</x:v>
      </x:c>
      <x:c r="AD4" s="111" t="str">
        <x:v>Partial — board needs video verification</x:v>
      </x:c>
      <x:c r="AE4" s="111" t="str">
        <x:v>High</x:v>
      </x:c>
      <x:c r="AF4" s="111" t="str">
        <x:v>Full written episode recap</x:v>
      </x:c>
      <x:c r="AG4" s="111" t="str">
        <x:v>https://www.gipsyteam.com/news/06-03-2025/inside-the-mind-of-a-pro-adrian-mateos-on-day-1-of-the-2024-wsop-main-event</x:v>
      </x:c>
      <x:c r="AH4" s="111" t="str">
        <x:v>https://www.youtube.com/watch?v=LOzYpTgw6n0</x:v>
      </x:c>
      <x:c r="AI4" s="111" t="str">
        <x:v>Hero hand and full action verified; exact board cards were image-only.</x:v>
      </x:c>
    </x:row>
    <x:row r="5">
      <x:c r="A5" s="111" t="str">
        <x:v>AM-004</x:v>
      </x:c>
      <x:c r="B5" s="111" t="str">
        <x:v>Adrián Mateos</x:v>
      </x:c>
      <x:c r="C5" s="111" t="str">
        <x:v>Inside the Mind of a Pro — 2024 WSOP</x:v>
      </x:c>
      <x:c r="D5" s="111" t="str">
        <x:v>EP03</x:v>
      </x:c>
      <x:c r="E5" s="111" t="str"/>
      <x:c r="F5" s="111" t="n">
        <x:v>2024</x:v>
      </x:c>
      <x:c r="G5" s="111" t="str">
        <x:v>WSOP Main Event</x:v>
      </x:c>
      <x:c r="H5" s="111" t="str">
        <x:v>Day 1</x:v>
      </x:c>
      <x:c r="I5" s="111" t="str"/>
      <x:c r="J5" s="111" t="str"/>
      <x:c r="K5" s="111" t="str"/>
      <x:c r="L5" s="111" t="str">
        <x:v>200+</x:v>
      </x:c>
      <x:c r="M5" s="111" t="str">
        <x:v>Big blind</x:v>
      </x:c>
      <x:c r="N5" s="111" t="str">
        <x:v>Hijack</x:v>
      </x:c>
      <x:c r="O5" s="111" t="str">
        <x:v>Unknown</x:v>
      </x:c>
      <x:c r="P5" s="111" t="str">
        <x:v>Unknown</x:v>
      </x:c>
      <x:c r="Q5" s="111" t="str">
        <x:v>Early-position limp; hijack amateur makes a small raise; Mateos calls BB.</x:v>
      </x:c>
      <x:c r="R5" s="111" t="str">
        <x:v>Second-pair texture; exact board not preserved in text recap</x:v>
      </x:c>
      <x:c r="S5" s="111" t="str">
        <x:v>Mateos and limper check; hijack bets 2,000 into 5,400; Mateos calls; limper quickly calls.</x:v>
      </x:c>
      <x:c r="T5" s="111" t="str">
        <x:v>Unknown</x:v>
      </x:c>
      <x:c r="U5" s="111" t="str">
        <x:v>Hijack quickly bets 6,500 into 11,400; Mateos folds; limper folds.</x:v>
      </x:c>
      <x:c r="V5" s="111" t="str"/>
      <x:c r="W5" s="111" t="str"/>
      <x:c r="X5" s="111" t="str">
        <x:v>Mateos folds turn.</x:v>
      </x:c>
      <x:c r="Y5" s="111" t="str">
        <x:v>Multiway second pair / update read</x:v>
      </x:c>
      <x:c r="Z5" s="111" t="str">
        <x:v>Amateur-looking opponent</x:v>
      </x:c>
      <x:c r="AA5" s="111" t="str">
        <x:v>Normal chip EV</x:v>
      </x:c>
      <x:c r="AB5" s="111" t="str">
        <x:v>Small preflop sizing suggested weakness, but a fast confident turn barrel into two flop callers reversed the read.</x:v>
      </x:c>
      <x:c r="AC5" s="111" t="str">
        <x:v>Initial tells are provisional. New information must override the first read.</x:v>
      </x:c>
      <x:c r="AD5" s="111" t="str">
        <x:v>Partial — hero hand and board need video verification</x:v>
      </x:c>
      <x:c r="AE5" s="111" t="str">
        <x:v>High</x:v>
      </x:c>
      <x:c r="AF5" s="111" t="str">
        <x:v>Full written episode recap</x:v>
      </x:c>
      <x:c r="AG5" s="111" t="str">
        <x:v>https://www.gipsyteam.com/news/06-03-2025/inside-the-mind-of-a-pro-adrian-mateos-on-day-1-of-the-2024-wsop-main-event</x:v>
      </x:c>
      <x:c r="AH5" s="111" t="str">
        <x:v>https://www.youtube.com/watch?v=LOzYpTgw6n0</x:v>
      </x:c>
      <x:c r="AI5" s="111" t="str">
        <x:v>Action and exploit logic verified; exact cards were image-only.</x:v>
      </x:c>
    </x:row>
    <x:row r="6">
      <x:c r="A6" s="111" t="str">
        <x:v>AM-005</x:v>
      </x:c>
      <x:c r="B6" s="111" t="str">
        <x:v>Adrián Mateos</x:v>
      </x:c>
      <x:c r="C6" s="111" t="str">
        <x:v>Inside the Mind of a Pro — 2024 WSOP</x:v>
      </x:c>
      <x:c r="D6" s="111" t="str">
        <x:v>EP03</x:v>
      </x:c>
      <x:c r="E6" s="111" t="str"/>
      <x:c r="F6" s="111" t="n">
        <x:v>2024</x:v>
      </x:c>
      <x:c r="G6" s="111" t="str">
        <x:v>WSOP Main Event</x:v>
      </x:c>
      <x:c r="H6" s="111" t="str">
        <x:v>Day 1</x:v>
      </x:c>
      <x:c r="I6" s="111" t="str"/>
      <x:c r="J6" s="111" t="str"/>
      <x:c r="K6" s="111" t="str"/>
      <x:c r="L6" s="111" t="str">
        <x:v>200+</x:v>
      </x:c>
      <x:c r="M6" s="111" t="str">
        <x:v>Unknown</x:v>
      </x:c>
      <x:c r="N6" s="111" t="str">
        <x:v>Big blind</x:v>
      </x:c>
      <x:c r="O6" s="111" t="str">
        <x:v>Unknown (two pair by river)</x:v>
      </x:c>
      <x:c r="P6" s="111" t="str">
        <x:v>Unknown</x:v>
      </x:c>
      <x:c r="Q6" s="111" t="str">
        <x:v>Mateos opens wider than theory because of a favorable table; BB calls.</x:v>
      </x:c>
      <x:c r="R6" s="111" t="str">
        <x:v>Unknown</x:v>
      </x:c>
      <x:c r="S6" s="111" t="str">
        <x:v>Mateos c-bets 1,000 into 3,500; BB calls.</x:v>
      </x:c>
      <x:c r="T6" s="111" t="str">
        <x:v>Good protection/value card; exact rank unknown</x:v>
      </x:c>
      <x:c r="U6" s="111" t="str">
        <x:v>Mateos bets 3,200 into 5,500; BB calls.</x:v>
      </x:c>
      <x:c r="V6" s="111" t="str">
        <x:v>Blank river</x:v>
      </x:c>
      <x:c r="W6" s="111" t="str">
        <x:v>Mateos value-bets 8,200 into 11,900; BB tanks and calls.</x:v>
      </x:c>
      <x:c r="X6" s="111" t="str">
        <x:v>Mateos wins a three-street value pot with two pair.</x:v>
      </x:c>
      <x:c r="Y6" s="111" t="str">
        <x:v>Thin value / soft-field exploit</x:v>
      </x:c>
      <x:c r="Z6" s="111" t="str">
        <x:v>Unknown likely weaker opponent</x:v>
      </x:c>
      <x:c r="AA6" s="111" t="str">
        <x:v>Normal chip EV</x:v>
      </x:c>
      <x:c r="AB6" s="111" t="str">
        <x:v>Opponent posture showed hesitation and made a raise look unlikely; Mateos expected under-defending and under-calling tendencies.</x:v>
      </x:c>
      <x:c r="AC6" s="111" t="str">
        <x:v>When live populations under-defend and under-call, widen value ranges and keep betting.</x:v>
      </x:c>
      <x:c r="AD6" s="111" t="str">
        <x:v>Partial — hero hand and board need video verification</x:v>
      </x:c>
      <x:c r="AE6" s="111" t="str">
        <x:v>High</x:v>
      </x:c>
      <x:c r="AF6" s="111" t="str">
        <x:v>Full written episode recap</x:v>
      </x:c>
      <x:c r="AG6" s="111" t="str">
        <x:v>https://www.gipsyteam.com/news/06-03-2025/inside-the-mind-of-a-pro-adrian-mateos-on-day-1-of-the-2024-wsop-main-event</x:v>
      </x:c>
      <x:c r="AH6" s="111" t="str">
        <x:v>https://www.youtube.com/watch?v=LOzYpTgw6n0</x:v>
      </x:c>
      <x:c r="AI6" s="111" t="str">
        <x:v>Three-street sizing and reasoning verified; exact cards were image-only.</x:v>
      </x:c>
    </x:row>
    <x:row r="7">
      <x:c r="A7" s="111" t="str">
        <x:v>AM-006</x:v>
      </x:c>
      <x:c r="B7" s="111" t="str">
        <x:v>Adrián Mateos</x:v>
      </x:c>
      <x:c r="C7" s="111" t="str">
        <x:v>Inside the Mind of a Pro — 2024 WSOP</x:v>
      </x:c>
      <x:c r="D7" s="111" t="str">
        <x:v>EP14</x:v>
      </x:c>
      <x:c r="E7" s="111" t="str"/>
      <x:c r="F7" s="111" t="n">
        <x:v>2024</x:v>
      </x:c>
      <x:c r="G7" s="111" t="str">
        <x:v>WSOP Main Event</x:v>
      </x:c>
      <x:c r="H7" s="111" t="str">
        <x:v>Day 5</x:v>
      </x:c>
      <x:c r="I7" s="111" t="str"/>
      <x:c r="J7" s="111" t="str"/>
      <x:c r="K7" s="111" t="str"/>
      <x:c r="L7" s="111" t="str">
        <x:v>Deep</x:v>
      </x:c>
      <x:c r="M7" s="111" t="str">
        <x:v>Unknown</x:v>
      </x:c>
      <x:c r="N7" s="111" t="str">
        <x:v>Will Berry</x:v>
      </x:c>
      <x:c r="O7" s="111" t="str">
        <x:v>K♠K♥</x:v>
      </x:c>
      <x:c r="P7" s="111" t="str">
        <x:v>A♠A♣</x:v>
      </x:c>
      <x:c r="Q7" s="111" t="str">
        <x:v>Four-bet pot before the flop; exact preflop sizings not stated in the summary article.</x:v>
      </x:c>
      <x:c r="R7" s="111" t="str">
        <x:v>Q♦ 4♦ 2♣</x:v>
      </x:c>
      <x:c r="S7" s="111" t="str">
        <x:v>Berry bets 425,000 into 1,360,000; Mateos calls.</x:v>
      </x:c>
      <x:c r="T7" s="111" t="str">
        <x:v>10♠</x:v>
      </x:c>
      <x:c r="U7" s="111" t="str">
        <x:v>Berry bets 1,300,000 into 2,210,000; Mateos tanks just over a minute and folds.</x:v>
      </x:c>
      <x:c r="V7" s="111" t="str"/>
      <x:c r="W7" s="111" t="str"/>
      <x:c r="X7" s="111" t="str">
        <x:v>Mateos correctly folds kings to aces.</x:v>
      </x:c>
      <x:c r="Y7" s="111" t="str">
        <x:v>Hero fold / overpair in four-bet pot</x:v>
      </x:c>
      <x:c r="Z7" s="111" t="str">
        <x:v>Strong opponent</x:v>
      </x:c>
      <x:c r="AA7" s="111" t="str">
        <x:v>Deep-run chip EV</x:v>
      </x:c>
      <x:c r="AB7" s="111" t="str">
        <x:v>No physical tell required; line and range strength drive an elite fold.</x:v>
      </x:c>
      <x:c r="AC7" s="111" t="str">
        <x:v>Even premium overpairs are not automatic stack-offs in deep four-bet pots.</x:v>
      </x:c>
      <x:c r="AD7" s="111" t="str">
        <x:v>Complete enough for graphic recreation</x:v>
      </x:c>
      <x:c r="AE7" s="111" t="str">
        <x:v>High</x:v>
      </x:c>
      <x:c r="AF7" s="111" t="str">
        <x:v>Independent hand report</x:v>
      </x:c>
      <x:c r="AG7" s="111" t="str">
        <x:v>https://www.pokernews.com/news/2024/07/mateos-kings-fold-wsop-main-event-46510.htm</x:v>
      </x:c>
      <x:c r="AH7" s="111" t="str">
        <x:v>https://www.youtube.com/watch?v=GhzqcTPZP-A</x:v>
      </x:c>
      <x:c r="AI7" s="111" t="str">
        <x:v>Exact flop, turn, hands and postflop sizings verified. Episode 14 stage match is direct.</x:v>
      </x:c>
    </x:row>
    <x:row r="8">
      <x:c r="A8" s="111" t="str">
        <x:v>AM-007</x:v>
      </x:c>
      <x:c r="B8" s="111" t="str">
        <x:v>Adrián Mateos</x:v>
      </x:c>
      <x:c r="C8" s="111" t="str">
        <x:v>Inside the Mind of a Pro — 2024 WSOP</x:v>
      </x:c>
      <x:c r="D8" s="111" t="str">
        <x:v>EP14</x:v>
      </x:c>
      <x:c r="E8" s="111" t="str"/>
      <x:c r="F8" s="111" t="n">
        <x:v>2024</x:v>
      </x:c>
      <x:c r="G8" s="111" t="str">
        <x:v>WSOP Main Event</x:v>
      </x:c>
      <x:c r="H8" s="111" t="str">
        <x:v>Day 5</x:v>
      </x:c>
      <x:c r="I8" s="111" t="str"/>
      <x:c r="J8" s="111" t="str"/>
      <x:c r="K8" s="111" t="str"/>
      <x:c r="L8" s="111" t="str">
        <x:v>Deep</x:v>
      </x:c>
      <x:c r="M8" s="111" t="str">
        <x:v>Unknown</x:v>
      </x:c>
      <x:c r="N8" s="111" t="str">
        <x:v>Adrian Garcia</x:v>
      </x:c>
      <x:c r="O8" s="111" t="str">
        <x:v>A♥A♣</x:v>
      </x:c>
      <x:c r="P8" s="111" t="str">
        <x:v>A♠K♠</x:v>
      </x:c>
      <x:c r="Q8" s="111" t="str">
        <x:v>Mateos opens to 60,000; Lingkun Lu calls SB with 5♥4♥; Garcia 3-bets BB to 325,000; Mateos 4-bets to 750,000; Lu folds; Garcia jams 2,925,000; Mateos snap-calls.</x:v>
      </x:c>
      <x:c r="R8" s="111" t="str">
        <x:v>10♠ 9♥ 8♦</x:v>
      </x:c>
      <x:c r="S8" s="111" t="str">
        <x:v>All chips already in preflop.</x:v>
      </x:c>
      <x:c r="T8" s="111" t="str">
        <x:v>9♠</x:v>
      </x:c>
      <x:c r="U8" s="111" t="str">
        <x:v>Garcia gains a flush draw.</x:v>
      </x:c>
      <x:c r="V8" s="111" t="str">
        <x:v>3♠</x:v>
      </x:c>
      <x:c r="W8" s="111" t="str">
        <x:v>Garcia completes runner-runner flush.</x:v>
      </x:c>
      <x:c r="X8" s="111" t="str">
        <x:v>Mateos loses a roughly six-million-chip pot and is left short.</x:v>
      </x:c>
      <x:c r="Y8" s="111" t="str">
        <x:v>Preflop all-in / tournament-defining variance</x:v>
      </x:c>
      <x:c r="Z8" s="111" t="str">
        <x:v>Strong opponent</x:v>
      </x:c>
      <x:c r="AA8" s="111" t="str">
        <x:v>Deep run</x:v>
      </x:c>
      <x:c r="AB8" s="111" t="str">
        <x:v>None — standard premium-hand preflop decision.</x:v>
      </x:c>
      <x:c r="AC8" s="111" t="str">
        <x:v>Correct decisions can still end in brutal variance; separate process from outcome.</x:v>
      </x:c>
      <x:c r="AD8" s="111" t="str">
        <x:v>Complete enough for graphic recreation</x:v>
      </x:c>
      <x:c r="AE8" s="111" t="str">
        <x:v>High</x:v>
      </x:c>
      <x:c r="AF8" s="111" t="str">
        <x:v>Independent hand report</x:v>
      </x:c>
      <x:c r="AG8" s="111" t="str">
        <x:v>https://www.pokernews.com/news/2024/07/mateos-kings-fold-wsop-main-event-46510.htm</x:v>
      </x:c>
      <x:c r="AH8" s="111" t="str">
        <x:v>https://www.youtube.com/watch?v=GhzqcTPZP-A</x:v>
      </x:c>
      <x:c r="AI8" s="111" t="str">
        <x:v>Exact hands, preflop sizings and board verified.</x:v>
      </x:c>
    </x:row>
    <x:row r="9">
      <x:c r="A9" s="113" t="str">
        <x:v>LM-001</x:v>
      </x:c>
      <x:c r="B9" s="113" t="str">
        <x:v>Leo Margets</x:v>
      </x:c>
      <x:c r="C9" s="113" t="str">
        <x:v>Inside the Mind of a Pro — 2025 WSOP</x:v>
      </x:c>
      <x:c r="D9" s="113" t="str">
        <x:v>EP11</x:v>
      </x:c>
      <x:c r="E9" s="113" t="str"/>
      <x:c r="F9" s="113" t="n">
        <x:v>2025</x:v>
      </x:c>
      <x:c r="G9" s="113" t="str">
        <x:v>WSOP Main Event</x:v>
      </x:c>
      <x:c r="H9" s="113" t="str">
        <x:v>Bubble</x:v>
      </x:c>
      <x:c r="I9" s="113" t="n">
        <x:v>1476</x:v>
      </x:c>
      <x:c r="J9" s="113" t="n">
        <x:v>1465</x:v>
      </x:c>
      <x:c r="K9" s="113" t="str">
        <x:v>4,000/8,000</x:v>
      </x:c>
      <x:c r="L9" s="113" t="str">
        <x:v>~48</x:v>
      </x:c>
      <x:c r="M9" s="113" t="str"/>
      <x:c r="N9" s="113" t="str"/>
      <x:c r="O9" s="113" t="str"/>
      <x:c r="P9" s="113" t="str"/>
      <x:c r="Q9" s="113" t="str">
        <x:v>Stage strategy example rather than a single hand.</x:v>
      </x:c>
      <x:c r="R9" s="113" t="str"/>
      <x:c r="S9" s="113" t="str"/>
      <x:c r="T9" s="113" t="str"/>
      <x:c r="U9" s="113" t="str"/>
      <x:c r="V9" s="113" t="str"/>
      <x:c r="W9" s="113" t="str"/>
      <x:c r="X9" s="113" t="str">
        <x:v>Margets enters the direct bubble with 383,000 chips and a playable stack.</x:v>
      </x:c>
      <x:c r="Y9" s="113" t="str">
        <x:v>Bubble navigation</x:v>
      </x:c>
      <x:c r="Z9" s="113" t="str">
        <x:v>Mixed field</x:v>
      </x:c>
      <x:c r="AA9" s="113" t="str">
        <x:v>Bubble</x:v>
      </x:c>
      <x:c r="AB9" s="113" t="str">
        <x:v>Field-wide fear is itself exploitable information.</x:v>
      </x:c>
      <x:c r="AC9" s="113" t="str">
        <x:v>A comfortable stack should pressure selectively, not become reckless simply because shorter stacks are scared.</x:v>
      </x:c>
      <x:c r="AD9" s="113" t="str">
        <x:v>Stage graphic ready; hand-level extraction pending</x:v>
      </x:c>
      <x:c r="AE9" s="113" t="str">
        <x:v>High</x:v>
      </x:c>
      <x:c r="AF9" s="113" t="str">
        <x:v>Episode description / bubble recap</x:v>
      </x:c>
      <x:c r="AG9" s="113" t="str">
        <x:v>https://pokerfuse.com/the-rail/2026/14/?post=4389</x:v>
      </x:c>
      <x:c r="AH9" s="113" t="str">
        <x:v>https://www.youtube.com/watch?v=mi0LXjq4dCg</x:v>
      </x:c>
      <x:c r="AI9" s="113" t="str">
        <x:v>Useful strategic stage example; not a single hand.</x:v>
      </x:c>
    </x:row>
    <x:row r="10">
      <x:c r="A10" s="113" t="str">
        <x:v>LM-002</x:v>
      </x:c>
      <x:c r="B10" s="113" t="str">
        <x:v>Leo Margets</x:v>
      </x:c>
      <x:c r="C10" s="113" t="str">
        <x:v>Inside the Mind of a Pro — 2025 WSOP</x:v>
      </x:c>
      <x:c r="D10" s="113" t="str">
        <x:v>EP19–EP21 range; timestamp pending</x:v>
      </x:c>
      <x:c r="E10" s="113" t="str"/>
      <x:c r="F10" s="113" t="n">
        <x:v>2025</x:v>
      </x:c>
      <x:c r="G10" s="113" t="str">
        <x:v>WSOP Main Event</x:v>
      </x:c>
      <x:c r="H10" s="113" t="str">
        <x:v>Day 7 / last 57 to last 32</x:v>
      </x:c>
      <x:c r="I10" s="113" t="str"/>
      <x:c r="J10" s="113" t="str"/>
      <x:c r="K10" s="113" t="str"/>
      <x:c r="L10" s="113" t="str">
        <x:v>Medium stack</x:v>
      </x:c>
      <x:c r="M10" s="113" t="str">
        <x:v>Middle position</x:v>
      </x:c>
      <x:c r="N10" s="113" t="str">
        <x:v>Michael Mizrachi / Arai</x:v>
      </x:c>
      <x:c r="O10" s="113" t="str">
        <x:v>99 (suits not verified)</x:v>
      </x:c>
      <x:c r="P10" s="113" t="str">
        <x:v>Unknown</x:v>
      </x:c>
      <x:c r="Q10" s="113" t="str">
        <x:v>Margets raises middle position; Mizrachi calls in position; Arai calls BB.</x:v>
      </x:c>
      <x:c r="R10" s="113" t="str">
        <x:v>Exact flop not preserved in text recap</x:v>
      </x:c>
      <x:c r="S10" s="113" t="str">
        <x:v>Arai checks; Margets checks; Mizrachi overbets around 3x pot.</x:v>
      </x:c>
      <x:c r="T10" s="113" t="str"/>
      <x:c r="U10" s="113" t="str"/>
      <x:c r="V10" s="113" t="str"/>
      <x:c r="W10" s="113" t="str">
        <x:v>Arai eventually folds; Margets folds quickly.</x:v>
      </x:c>
      <x:c r="X10" s="113" t="str">
        <x:v>Margets releases pocket nines to massive flop pressure.</x:v>
      </x:c>
      <x:c r="Y10" s="113" t="str">
        <x:v>One-pair discipline / huge overbet</x:v>
      </x:c>
      <x:c r="Z10" s="113" t="str">
        <x:v>Elite pro</x:v>
      </x:c>
      <x:c r="AA10" s="113" t="str">
        <x:v>Deep-run pay-jump pressure</x:v>
      </x:c>
      <x:c r="AB10" s="113" t="str">
        <x:v>A giant overbet from an elite player into a multiway configuration announces extreme strength.</x:v>
      </x:c>
      <x:c r="AC10" s="113" t="str">
        <x:v>One pair loses value fast when a strong line is taken in a highly constrained multiway pot.</x:v>
      </x:c>
      <x:c r="AD10" s="113" t="str">
        <x:v>Partial — exact flop and episode timestamp need verification</x:v>
      </x:c>
      <x:c r="AE10" s="113" t="str">
        <x:v>High</x:v>
      </x:c>
      <x:c r="AF10" s="113" t="str">
        <x:v>Independent Day 7 recap</x:v>
      </x:c>
      <x:c r="AG10" s="113" t="str">
        <x:v>https://www.gipsyteam.com/news/13-07-2025/main-event-day-7-recap</x:v>
      </x:c>
      <x:c r="AH10" s="113" t="str">
        <x:v>https://www.youtube.com/playlist?list=PLuf_yjeun6pJFfxalflKHhbxkJFbxeQr3</x:v>
      </x:c>
      <x:c r="AI10" s="113" t="str">
        <x:v>Hand verified from Day 7 recap; exact series episode within EP19–EP21 still needs timestamp verification.</x:v>
      </x:c>
    </x:row>
    <x:row r="11">
      <x:c r="A11" s="113" t="str">
        <x:v>LM-003</x:v>
      </x:c>
      <x:c r="B11" s="113" t="str">
        <x:v>Leo Margets</x:v>
      </x:c>
      <x:c r="C11" s="113" t="str">
        <x:v>Inside the Mind of a Pro — 2025 WSOP</x:v>
      </x:c>
      <x:c r="D11" s="113" t="str">
        <x:v>EP22–EP24 range; timestamp pending</x:v>
      </x:c>
      <x:c r="E11" s="113" t="str"/>
      <x:c r="F11" s="113" t="n">
        <x:v>2025</x:v>
      </x:c>
      <x:c r="G11" s="113" t="str">
        <x:v>WSOP Main Event</x:v>
      </x:c>
      <x:c r="H11" s="113" t="str">
        <x:v>Day 8 / last 20</x:v>
      </x:c>
      <x:c r="I11" s="113" t="str"/>
      <x:c r="J11" s="113" t="str"/>
      <x:c r="K11" s="113" t="str">
        <x:v>400,000/800,000</x:v>
      </x:c>
      <x:c r="L11" s="113" t="str"/>
      <x:c r="M11" s="113" t="str">
        <x:v>Hijack</x:v>
      </x:c>
      <x:c r="N11" s="113" t="str">
        <x:v>Big blind</x:v>
      </x:c>
      <x:c r="O11" s="113" t="str">
        <x:v>AJo</x:v>
      </x:c>
      <x:c r="P11" s="113" t="str">
        <x:v>KJs</x:v>
      </x:c>
      <x:c r="Q11" s="113" t="str">
        <x:v>Margets opens from hijack; Chris Dombrowski jams about 10bb from BB; Margets calls.</x:v>
      </x:c>
      <x:c r="R11" s="113" t="str">
        <x:v>Ace-high flop</x:v>
      </x:c>
      <x:c r="S11" s="113" t="str">
        <x:v>Dombrowski is dominated and behind.</x:v>
      </x:c>
      <x:c r="T11" s="113" t="str"/>
      <x:c r="U11" s="113" t="str"/>
      <x:c r="V11" s="113" t="str"/>
      <x:c r="W11" s="113" t="str"/>
      <x:c r="X11" s="113" t="str">
        <x:v>Margets eliminates Dombrowski in 20th place.</x:v>
      </x:c>
      <x:c r="Y11" s="113" t="str">
        <x:v>Short-stack call-off / dominated ace</x:v>
      </x:c>
      <x:c r="Z11" s="113" t="str">
        <x:v>Short stack</x:v>
      </x:c>
      <x:c r="AA11" s="113" t="str">
        <x:v>Two-table / major pay jumps</x:v>
      </x:c>
      <x:c r="AB11" s="113" t="str">
        <x:v>Standard range pressure against a short-stack reshove.</x:v>
      </x:c>
      <x:c r="AC11" s="113" t="str">
        <x:v>Do not overfold strong offsuit aces against correctly wide short-stack jams.</x:v>
      </x:c>
      <x:c r="AD11" s="113" t="str">
        <x:v>Partial — suits and full board need video verification</x:v>
      </x:c>
      <x:c r="AE11" s="113" t="str">
        <x:v>High</x:v>
      </x:c>
      <x:c r="AF11" s="113" t="str">
        <x:v>Independent Day 8 recap</x:v>
      </x:c>
      <x:c r="AG11" s="113" t="str">
        <x:v>https://www.gipsyteam.com/news/14-07-2025/main-event-day-8-recap</x:v>
      </x:c>
      <x:c r="AH11" s="113" t="str"/>
      <x:c r="AI11" s="113" t="str">
        <x:v>Exact ranks verified; suits/full board not captured in parsed recap.</x:v>
      </x:c>
    </x:row>
    <x:row r="12">
      <x:c r="A12" s="113" t="str">
        <x:v>LM-004</x:v>
      </x:c>
      <x:c r="B12" s="113" t="str">
        <x:v>Leo Margets</x:v>
      </x:c>
      <x:c r="C12" s="113" t="str">
        <x:v>Inside the Mind of a Pro — 2025 WSOP</x:v>
      </x:c>
      <x:c r="D12" s="113" t="str">
        <x:v>EP22–EP24 range; timestamp pending</x:v>
      </x:c>
      <x:c r="E12" s="113" t="str"/>
      <x:c r="F12" s="113" t="n">
        <x:v>2025</x:v>
      </x:c>
      <x:c r="G12" s="113" t="str">
        <x:v>WSOP Main Event</x:v>
      </x:c>
      <x:c r="H12" s="113" t="str">
        <x:v>Day 8 / last 20</x:v>
      </x:c>
      <x:c r="I12" s="113" t="str"/>
      <x:c r="J12" s="113" t="str"/>
      <x:c r="K12" s="113" t="str">
        <x:v>400,000/800,000</x:v>
      </x:c>
      <x:c r="L12" s="113" t="str"/>
      <x:c r="M12" s="113" t="str">
        <x:v>Cutoff</x:v>
      </x:c>
      <x:c r="N12" s="113" t="str">
        <x:v>Diego Ponce</x:v>
      </x:c>
      <x:c r="O12" s="113" t="str">
        <x:v>QQ</x:v>
      </x:c>
      <x:c r="P12" s="113" t="str">
        <x:v>JJ</x:v>
      </x:c>
      <x:c r="Q12" s="113" t="str">
        <x:v>Margets raises to 1,600,000 from cutoff; Ponce jams 11,200,000; Margets calls.</x:v>
      </x:c>
      <x:c r="R12" s="113" t="str">
        <x:v>Low/no-help board</x:v>
      </x:c>
      <x:c r="S12" s="113" t="str">
        <x:v>All-in preflop.</x:v>
      </x:c>
      <x:c r="T12" s="113" t="str"/>
      <x:c r="U12" s="113" t="str"/>
      <x:c r="V12" s="113" t="str"/>
      <x:c r="W12" s="113" t="str"/>
      <x:c r="X12" s="113" t="str">
        <x:v>Margets eliminates Ponce in 19th place.</x:v>
      </x:c>
      <x:c r="Y12" s="113" t="str">
        <x:v>Premium pair vs short-stack jam</x:v>
      </x:c>
      <x:c r="Z12" s="113" t="str">
        <x:v>Short stack</x:v>
      </x:c>
      <x:c r="AA12" s="113" t="str">
        <x:v>Two-table / major pay jumps</x:v>
      </x:c>
      <x:c r="AB12" s="113" t="str">
        <x:v>No special read required.</x:v>
      </x:c>
      <x:c r="AC12" s="113" t="str">
        <x:v>When stack geometry is clear, premium hands should not become victims of excessive ICM fear.</x:v>
      </x:c>
      <x:c r="AD12" s="113" t="str">
        <x:v>Partial — suits and board need video verification</x:v>
      </x:c>
      <x:c r="AE12" s="113" t="str">
        <x:v>High</x:v>
      </x:c>
      <x:c r="AF12" s="113" t="str">
        <x:v>Independent Day 8 recap</x:v>
      </x:c>
      <x:c r="AG12" s="113" t="str">
        <x:v>https://www.gipsyteam.com/news/14-07-2025/main-event-day-8-recap</x:v>
      </x:c>
      <x:c r="AH12" s="113" t="str"/>
      <x:c r="AI12" s="113" t="str">
        <x:v>Exact ranks and sizing verified; suits/full board not captured in parsed recap.</x:v>
      </x:c>
    </x:row>
    <x:row r="13">
      <x:c r="A13" s="113" t="str">
        <x:v>LM-005</x:v>
      </x:c>
      <x:c r="B13" s="113" t="str">
        <x:v>Leo Margets</x:v>
      </x:c>
      <x:c r="C13" s="113" t="str">
        <x:v>Inside the Mind of a Pro — 2025 WSOP</x:v>
      </x:c>
      <x:c r="D13" s="113" t="str">
        <x:v>EP24 candidate; timestamp pending</x:v>
      </x:c>
      <x:c r="E13" s="113" t="str"/>
      <x:c r="F13" s="113" t="n">
        <x:v>2025</x:v>
      </x:c>
      <x:c r="G13" s="113" t="str">
        <x:v>WSOP Main Event</x:v>
      </x:c>
      <x:c r="H13" s="113" t="str">
        <x:v>Day 8 / last 16</x:v>
      </x:c>
      <x:c r="I13" s="113" t="str"/>
      <x:c r="J13" s="113" t="str"/>
      <x:c r="K13" s="113" t="str">
        <x:v>500,000/1,000,000</x:v>
      </x:c>
      <x:c r="L13" s="113" t="str">
        <x:v>~30-40</x:v>
      </x:c>
      <x:c r="M13" s="113" t="str">
        <x:v>Hijack</x:v>
      </x:c>
      <x:c r="N13" s="113" t="str">
        <x:v>Small blind</x:v>
      </x:c>
      <x:c r="O13" s="113" t="str">
        <x:v>JJ</x:v>
      </x:c>
      <x:c r="P13" s="113" t="str">
        <x:v>AK</x:v>
      </x:c>
      <x:c r="Q13" s="113" t="str">
        <x:v>Margets raises to 2,000,000 from hijack; Sergio Veloso jams 32,700,000 from small blind; Margets calls.</x:v>
      </x:c>
      <x:c r="R13" s="113" t="str">
        <x:v>Ace-high flop</x:v>
      </x:c>
      <x:c r="S13" s="113" t="str">
        <x:v>Veloso takes the lead.</x:v>
      </x:c>
      <x:c r="T13" s="113" t="str">
        <x:v>Club</x:v>
      </x:c>
      <x:c r="U13" s="113" t="str">
        <x:v>Margets picks up flush possibility.</x:v>
      </x:c>
      <x:c r="V13" s="113" t="str">
        <x:v>2♣</x:v>
      </x:c>
      <x:c r="W13" s="113" t="str">
        <x:v>Margets completes runner-runner club flush.</x:v>
      </x:c>
      <x:c r="X13" s="113" t="str">
        <x:v>Margets eliminates Veloso in 16th and surges to about 71 million.</x:v>
      </x:c>
      <x:c r="Y13" s="113" t="str">
        <x:v>Massive preflop flip / survival and leverage</x:v>
      </x:c>
      <x:c r="Z13" s="113" t="str">
        <x:v>Strong opponent</x:v>
      </x:c>
      <x:c r="AA13" s="113" t="str">
        <x:v>Two-table / final-table approach</x:v>
      </x:c>
      <x:c r="AB13" s="113" t="str">
        <x:v>None — huge preflop race under maximum pressure.</x:v>
      </x:c>
      <x:c r="AC13" s="113" t="str">
        <x:v>Deep runs require winning major races; judge the decision separately from the spectacular runout.</x:v>
      </x:c>
      <x:c r="AD13" s="113" t="str">
        <x:v>Mostly complete — exact flop/turn ranks need video verification</x:v>
      </x:c>
      <x:c r="AE13" s="113" t="str">
        <x:v>High</x:v>
      </x:c>
      <x:c r="AF13" s="113" t="str">
        <x:v>Independent Day 8 recap + follow-up report</x:v>
      </x:c>
      <x:c r="AG13" s="113" t="str">
        <x:v>https://www.poker.org/latest-news/crazy-runout-ships-massive-main-event-pot-to-leo-margets-aUt9F0v6JMCG/</x:v>
      </x:c>
      <x:c r="AH13" s="113" t="str">
        <x:v>https://www.gipsyteam.com/news/14-07-2025/main-event-day-8-recap</x:v>
      </x:c>
      <x:c r="AI13" s="113" t="str">
        <x:v>Hero/villain ranks, preflop size, river 2♣ and runner-runner clubs verified; exact flop cards need video verification.</x:v>
      </x:c>
    </x:row>
    <x:row r="14">
      <x:c r="A14" s="113" t="str">
        <x:v>LM-006</x:v>
      </x:c>
      <x:c r="B14" s="113" t="str">
        <x:v>Leo Margets</x:v>
      </x:c>
      <x:c r="C14" s="113" t="str">
        <x:v>Inside the Mind of a Pro — 2025 WSOP</x:v>
      </x:c>
      <x:c r="D14" s="113" t="str">
        <x:v>EP22–EP24 range; timestamp pending</x:v>
      </x:c>
      <x:c r="E14" s="113" t="str"/>
      <x:c r="F14" s="113" t="n">
        <x:v>2025</x:v>
      </x:c>
      <x:c r="G14" s="113" t="str">
        <x:v>WSOP Main Event</x:v>
      </x:c>
      <x:c r="H14" s="113" t="str">
        <x:v>Day 8 / two tables</x:v>
      </x:c>
      <x:c r="I14" s="113" t="str"/>
      <x:c r="J14" s="113" t="str"/>
      <x:c r="K14" s="113" t="str"/>
      <x:c r="L14" s="113" t="str">
        <x:v>~20</x:v>
      </x:c>
      <x:c r="M14" s="113" t="str"/>
      <x:c r="N14" s="113" t="str">
        <x:v>Michael Mizrachi / Tony Gregg</x:v>
      </x:c>
      <x:c r="O14" s="113" t="str"/>
      <x:c r="P14" s="113" t="str"/>
      <x:c r="Q14" s="113" t="str">
        <x:v>Margets raises; Mizrachi calls small blind; Tony Gregg calls BB with about 20bb.</x:v>
      </x:c>
      <x:c r="R14" s="113" t="str">
        <x:v>Gregg flops top pair; exact board not preserved in text recap</x:v>
      </x:c>
      <x:c r="S14" s="113" t="str">
        <x:v>Mizrachi leads 5,000,000 into the multiway pot; Gregg quickly takes the conservative route; Margets also folds.</x:v>
      </x:c>
      <x:c r="T14" s="113" t="str"/>
      <x:c r="U14" s="113" t="str"/>
      <x:c r="V14" s="113" t="str"/>
      <x:c r="W14" s="113" t="str"/>
      <x:c r="X14" s="113" t="str">
        <x:v>Margets avoids getting trapped in a high-pressure multiway ICM pot.</x:v>
      </x:c>
      <x:c r="Y14" s="113" t="str">
        <x:v>Multiway ICM discipline</x:v>
      </x:c>
      <x:c r="Z14" s="113" t="str">
        <x:v>Elite pro + short/medium stack</x:v>
      </x:c>
      <x:c r="AA14" s="113" t="str">
        <x:v>Two-table / major pay jumps</x:v>
      </x:c>
      <x:c r="AB14" s="113" t="str">
        <x:v>Mizrachi's lead into multiple players carries extra weight under ICM.</x:v>
      </x:c>
      <x:c r="AC14" s="113" t="str">
        <x:v>In late-stage multiway pots, positional and ICM pressure can make apparently strong one-pair holdings fragile.</x:v>
      </x:c>
      <x:c r="AD14" s="113" t="str">
        <x:v>Partial — exact hero hand/board and timestamp need verification</x:v>
      </x:c>
      <x:c r="AE14" s="113" t="str">
        <x:v>Medium</x:v>
      </x:c>
      <x:c r="AF14" s="113" t="str">
        <x:v>Independent Day 8 recap</x:v>
      </x:c>
      <x:c r="AG14" s="113" t="str">
        <x:v>https://www.gipsyteam.com/news/14-07-2025/main-event-day-8-recap</x:v>
      </x:c>
      <x:c r="AH14" s="113" t="str"/>
      <x:c r="AI14" s="113" t="str">
        <x:v>Strategic sequence verified; exact cards need video extraction.</x:v>
      </x:c>
    </x:row>
    <x:row r="15">
      <x:c r="A15" s="113" t="str">
        <x:v>LM-007</x:v>
      </x:c>
      <x:c r="B15" s="113" t="str">
        <x:v>Leo Margets</x:v>
      </x:c>
      <x:c r="C15" s="113" t="str">
        <x:v>Inside the Mind of a Pro — 2025 WSOP</x:v>
      </x:c>
      <x:c r="D15" s="113" t="str">
        <x:v>EP26</x:v>
      </x:c>
      <x:c r="E15" s="113" t="str"/>
      <x:c r="F15" s="113" t="n">
        <x:v>2025</x:v>
      </x:c>
      <x:c r="G15" s="113" t="str">
        <x:v>WSOP Main Event</x:v>
      </x:c>
      <x:c r="H15" s="113" t="str">
        <x:v>Final table / 7-handed</x:v>
      </x:c>
      <x:c r="I15" s="113" t="str"/>
      <x:c r="J15" s="113" t="str"/>
      <x:c r="K15" s="113" t="str"/>
      <x:c r="L15" s="113" t="str">
        <x:v>~20-25</x:v>
      </x:c>
      <x:c r="M15" s="113" t="str">
        <x:v>Small blind</x:v>
      </x:c>
      <x:c r="N15" s="113" t="str">
        <x:v>Kenny Hallaert</x:v>
      </x:c>
      <x:c r="O15" s="113" t="str">
        <x:v>A10s</x:v>
      </x:c>
      <x:c r="P15" s="113" t="str">
        <x:v>66</x:v>
      </x:c>
      <x:c r="Q15" s="113" t="str">
        <x:v>Margets completes/calls from small blind; Hallaert moves all-in; Margets has 38 million behind and calls.</x:v>
      </x:c>
      <x:c r="R15" s="113" t="str">
        <x:v>No ace; exact flop not preserved in text summary</x:v>
      </x:c>
      <x:c r="S15" s="113" t="str">
        <x:v>Hallaert remains ahead.</x:v>
      </x:c>
      <x:c r="T15" s="113" t="str">
        <x:v>A (exact suit unknown)</x:v>
      </x:c>
      <x:c r="U15" s="113" t="str">
        <x:v>Margets moves into the lead.</x:v>
      </x:c>
      <x:c r="V15" s="113" t="str">
        <x:v>Flush-completing river</x:v>
      </x:c>
      <x:c r="W15" s="113" t="str">
        <x:v>Hallaert makes a flush and wins.</x:v>
      </x:c>
      <x:c r="X15" s="113" t="str">
        <x:v>Margets is eliminated in 7th place for $1.5 million.</x:v>
      </x:c>
      <x:c r="Y15" s="113" t="str">
        <x:v>Final-table all-in race</x:v>
      </x:c>
      <x:c r="Z15" s="113" t="str">
        <x:v>Elite/experienced opponent</x:v>
      </x:c>
      <x:c r="AA15" s="113" t="str">
        <x:v>Final-table ICM</x:v>
      </x:c>
      <x:c r="AB15" s="113" t="str">
        <x:v>Composure under maximum spotlight; no evidence of a live-read-driven decision.</x:v>
      </x:c>
      <x:c r="AC15" s="113" t="str">
        <x:v>Final-table greatness still passes through brutal flips. Process and stack geometry matter more than hindsight.</x:v>
      </x:c>
      <x:c r="AD15" s="113" t="str">
        <x:v>Partial — exact board and suits need video verification</x:v>
      </x:c>
      <x:c r="AE15" s="113" t="str">
        <x:v>High</x:v>
      </x:c>
      <x:c r="AF15" s="113" t="str">
        <x:v>Independent final-table report</x:v>
      </x:c>
      <x:c r="AG15" s="113" t="str">
        <x:v>https://www.pokernews.com/news/2025/07/michael-mizrachi-on-verge-of-winning-wsop-main-event-49201.htm</x:v>
      </x:c>
      <x:c r="AH15" s="113" t="str">
        <x:v>https://www.poker.org/latest-news/monster-flip-shatters-leo-margets-wsop-main-event-dream-aCmmW2h0dgNe/</x:v>
      </x:c>
      <x:c r="AI15" s="113" t="str">
        <x:v>Exact hero rank A10 suited and villain 66 verified; turn ace and river flush verified.</x:v>
      </x:c>
    </x:row>
    <x:row r="16">
      <x:c r="A16" s="113" t="str">
        <x:v>SUP-001</x:v>
      </x:c>
      <x:c r="B16" s="113" t="str">
        <x:v>Leo Margets</x:v>
      </x:c>
      <x:c r="C16" s="113" t="str">
        <x:v>Supplemental — 2025 WSOP public analysis</x:v>
      </x:c>
      <x:c r="D16" s="113" t="str">
        <x:v>Not part of EP11–EP26 extraction</x:v>
      </x:c>
      <x:c r="E16" s="113" t="str"/>
      <x:c r="F16" s="113" t="n">
        <x:v>2025</x:v>
      </x:c>
      <x:c r="G16" s="113" t="str">
        <x:v>WSOP Main Event</x:v>
      </x:c>
      <x:c r="H16" s="113" t="str">
        <x:v>Day 1</x:v>
      </x:c>
      <x:c r="I16" s="113" t="str"/>
      <x:c r="J16" s="113" t="str"/>
      <x:c r="K16" s="113" t="str"/>
      <x:c r="L16" s="113" t="str">
        <x:v>Deep</x:v>
      </x:c>
      <x:c r="M16" s="113" t="str">
        <x:v>Lowjack</x:v>
      </x:c>
      <x:c r="N16" s="113" t="str">
        <x:v>UTG+1</x:v>
      </x:c>
      <x:c r="O16" s="113" t="str">
        <x:v>A4s</x:v>
      </x:c>
      <x:c r="P16" s="113" t="str">
        <x:v>A10o</x:v>
      </x:c>
      <x:c r="Q16" s="113" t="str">
        <x:v>UTG+1 opens; Margets 3-bets lowjack; opener calls.</x:v>
      </x:c>
      <x:c r="R16" s="113" t="str">
        <x:v>Q-T-9</x:v>
      </x:c>
      <x:c r="S16" s="113" t="str">
        <x:v>Margets small c-bets; villain calls.</x:v>
      </x:c>
      <x:c r="T16" s="113" t="str">
        <x:v>Unknown</x:v>
      </x:c>
      <x:c r="U16" s="113" t="str">
        <x:v>Villain shows visible discomfort during continuing action.</x:v>
      </x:c>
      <x:c r="V16" s="113" t="str">
        <x:v>A</x:v>
      </x:c>
      <x:c r="W16" s="113" t="str">
        <x:v>Villain leads; Margets jams; villain folds.</x:v>
      </x:c>
      <x:c r="X16" s="113" t="str">
        <x:v>Margets wins with a highly exploitative river raise/jam.</x:v>
      </x:c>
      <x:c r="Y16" s="113" t="str">
        <x:v>Exploit bluff / behavior read</x:v>
      </x:c>
      <x:c r="Z16" s="113" t="str">
        <x:v>Unknown amateur / non-elite opponent</x:v>
      </x:c>
      <x:c r="AA16" s="113" t="str">
        <x:v>Normal chip EV</x:v>
      </x:c>
      <x:c r="AB16" s="113" t="str">
        <x:v>Opponent appeared sincerely uncomfortable; live-read analysis suggested the jam may have been behavior-driven more than blocker-driven.</x:v>
      </x:c>
      <x:c r="AC16" s="113" t="str">
        <x:v>Live behavior can unlock a bluff that pure theory may not choose, but the quality of the read is crucial.</x:v>
      </x:c>
      <x:c r="AD16" s="113" t="str">
        <x:v>Partial — turn card and exact sizing need source/video verification</x:v>
      </x:c>
      <x:c r="AE16" s="113" t="str">
        <x:v>High</x:v>
      </x:c>
      <x:c r="AF16" s="113" t="str">
        <x:v>Independent strategy analysis</x:v>
      </x:c>
      <x:c r="AG16" s="113" t="str">
        <x:v>https://www.gipsyteam.com/news/07-08-2025/balance-gto-lab</x:v>
      </x:c>
      <x:c r="AH16" s="113" t="str"/>
      <x:c r="AI16" s="113" t="str">
        <x:v>Included as supplemental material because it is not from the Leo EP11–EP26 run, but it is highly relevant to the casebook.</x:v>
      </x:c>
    </x:row>
    <x:row r="17">
      <x:c r="A17" s="129" t="str">
        <x:v>AM-008</x:v>
      </x:c>
      <x:c r="B17" s="129" t="str">
        <x:v>Adrián Mateos</x:v>
      </x:c>
      <x:c r="C17" s="129" t="str">
        <x:v>Inside the Mind of a Pro — 2024 WSOP</x:v>
      </x:c>
      <x:c r="D17" s="129" t="str">
        <x:v>EP03</x:v>
      </x:c>
      <x:c r="E17" s="129" t="str"/>
      <x:c r="F17" s="129" t="n">
        <x:v>2024</x:v>
      </x:c>
      <x:c r="G17" s="129" t="str">
        <x:v>WSOP Main Event</x:v>
      </x:c>
      <x:c r="H17" s="129" t="str">
        <x:v>Day 1</x:v>
      </x:c>
      <x:c r="I17" s="129" t="str"/>
      <x:c r="J17" s="129" t="str"/>
      <x:c r="K17" s="129" t="str"/>
      <x:c r="L17" s="129" t="str">
        <x:v>~100 effective</x:v>
      </x:c>
      <x:c r="M17" s="129" t="str">
        <x:v>Big blind</x:v>
      </x:c>
      <x:c r="N17" s="129" t="str">
        <x:v>Hijack</x:v>
      </x:c>
      <x:c r="O17" s="129" t="str">
        <x:v>86o</x:v>
      </x:c>
      <x:c r="P17" s="129" t="str">
        <x:v>JJ</x:v>
      </x:c>
      <x:c r="Q17" s="129" t="str">
        <x:v>Hijack opens with about 100bb; Mateos defends the big blind with 86o.</x:v>
      </x:c>
      <x:c r="R17" s="129" t="str">
        <x:v>Mateos flops second pair; exact board not preserved in parsed recap</x:v>
      </x:c>
      <x:c r="S17" s="129" t="str">
        <x:v>Mateos checks; hijack uses an unusually large 3,000 bet into 3,900; Mateos reads strength but calls.</x:v>
      </x:c>
      <x:c r="T17" s="129" t="str">
        <x:v>Mateos improves to a second pair combination / 'third pair' on board; exact card unknown</x:v>
      </x:c>
      <x:c r="U17" s="129" t="str">
        <x:v>Mateos checks; hijack bets 5,000 into 9,900. Mateos makes a borderline call, expecting few river bluffs.</x:v>
      </x:c>
      <x:c r="V17" s="129" t="str">
        <x:v>Unknown</x:v>
      </x:c>
      <x:c r="W17" s="129" t="str">
        <x:v>Mateos checks; opponent immediately tables JJ without betting.</x:v>
      </x:c>
      <x:c r="X17" s="129" t="str">
        <x:v>Mateos loses at showdown, but gains confirmation that the opponent under-value-bets rivers.</x:v>
      </x:c>
      <x:c r="Y17" s="129" t="str">
        <x:v>One-pair bluff-catch / sizing read</x:v>
      </x:c>
      <x:c r="Z17" s="129" t="str">
        <x:v>Unknown live-field opponent</x:v>
      </x:c>
      <x:c r="AA17" s="129" t="str">
        <x:v>Normal chip EV</x:v>
      </x:c>
      <x:c r="AB17" s="129" t="str">
        <x:v>The oversized flop bet signaled strength. The instant river showdown revealed a passive value threshold and confirmed Mateos's expectation of few river bluffs.</x:v>
      </x:c>
      <x:c r="AC17" s="129" t="str">
        <x:v>Treat unusual sizing as information, but plan the whole hand: a borderline turn call can be defensible when the opponent rarely bluffs rivers and may fail to value-bet thinly.</x:v>
      </x:c>
      <x:c r="AD17" s="129" t="str">
        <x:v>Partial — exact board and suits need video verification</x:v>
      </x:c>
      <x:c r="AE17" s="129" t="str">
        <x:v>High</x:v>
      </x:c>
      <x:c r="AF17" s="129" t="str">
        <x:v>Full written episode recap</x:v>
      </x:c>
      <x:c r="AG17" s="129" t="str">
        <x:v>https://www.gipsyteam.com/news/06-03-2025/inside-the-mind-of-a-pro-adrian-mateos-on-day-1-of-the-2024-wsop-main-event</x:v>
      </x:c>
      <x:c r="AH17" s="129" t="str">
        <x:v>https://www.youtube.com/watch?v=LOzYpTgw6n0</x:v>
      </x:c>
      <x:c r="AI17" s="129" t="str">
        <x:v>Hero hand, villain hand, pots, bets and reasoning are explicit in the recap; board cards were image-only.</x:v>
      </x:c>
    </x:row>
    <x:row r="18">
      <x:c r="A18" s="129" t="str">
        <x:v>AM-009</x:v>
      </x:c>
      <x:c r="B18" s="129" t="str">
        <x:v>Adrián Mateos</x:v>
      </x:c>
      <x:c r="C18" s="129" t="str">
        <x:v>Inside the Mind of a Pro — 2024 WSOP</x:v>
      </x:c>
      <x:c r="D18" s="129" t="str">
        <x:v>EP03</x:v>
      </x:c>
      <x:c r="E18" s="129" t="str"/>
      <x:c r="F18" s="129" t="n">
        <x:v>2024</x:v>
      </x:c>
      <x:c r="G18" s="129" t="str">
        <x:v>WSOP Main Event</x:v>
      </x:c>
      <x:c r="H18" s="129" t="str">
        <x:v>Day 1</x:v>
      </x:c>
      <x:c r="I18" s="129" t="str"/>
      <x:c r="J18" s="129" t="str"/>
      <x:c r="K18" s="129" t="str"/>
      <x:c r="L18" s="129" t="str">
        <x:v>Deep</x:v>
      </x:c>
      <x:c r="M18" s="129" t="str">
        <x:v>Cutoff</x:v>
      </x:c>
      <x:c r="N18" s="129" t="str">
        <x:v>Small blind and big blind</x:v>
      </x:c>
      <x:c r="O18" s="129" t="str">
        <x:v>66</x:v>
      </x:c>
      <x:c r="P18" s="129" t="str">
        <x:v>Small blind held a set; exact pair unknown</x:v>
      </x:c>
      <x:c r="Q18" s="129" t="str">
        <x:v>Mateos opens pocket sixes from the cutoff; both blinds call.</x:v>
      </x:c>
      <x:c r="R18" s="129" t="str">
        <x:v>Unknown</x:v>
      </x:c>
      <x:c r="S18" s="129" t="str">
        <x:v>Into 4,500, Mateos makes a high-frequency protection c-bet of 1,100; small blind calls and big blind folds.</x:v>
      </x:c>
      <x:c r="T18" s="129" t="str">
        <x:v>Draws reduce / board changes; exact card unknown</x:v>
      </x:c>
      <x:c r="U18" s="129" t="str">
        <x:v>Small blind checks; Mateos checks back.</x:v>
      </x:c>
      <x:c r="V18" s="129" t="str">
        <x:v>A strong value card for Mateos; exact rank unknown</x:v>
      </x:c>
      <x:c r="W18" s="129" t="str">
        <x:v>Into 6,700, Mateos considers an overbet but chooses 6,200 against an unknown opponent; small blind quickly folds a set.</x:v>
      </x:c>
      <x:c r="X18" s="129" t="str">
        <x:v>Mateos wins without showdown; opponent makes a strong river fold.</x:v>
      </x:c>
      <x:c r="Y18" s="129" t="str">
        <x:v>Multiway protection c-bet / polarized river value</x:v>
      </x:c>
      <x:c r="Z18" s="129" t="str">
        <x:v>Unknown opponent</x:v>
      </x:c>
      <x:c r="AA18" s="129" t="str">
        <x:v>Normal chip EV</x:v>
      </x:c>
      <x:c r="AB18" s="129" t="str">
        <x:v>Mateos reduced the theoretically preferred overbet because he did not know whether the opponent could fold strong one-pair hands to extreme sizing.</x:v>
      </x:c>
      <x:c r="AC18" s="129" t="str">
        <x:v>Use small flop bets to protect vulnerable pairs multiway, preserve showdown value on changing turns, then size large when the river creates a polarized value advantage.</x:v>
      </x:c>
      <x:c r="AD18" s="129" t="str">
        <x:v>Partial — exact board, suits and villain set need video verification</x:v>
      </x:c>
      <x:c r="AE18" s="129" t="str">
        <x:v>High</x:v>
      </x:c>
      <x:c r="AF18" s="129" t="str">
        <x:v>Full written episode recap</x:v>
      </x:c>
      <x:c r="AG18" s="129" t="str">
        <x:v>https://www.gipsyteam.com/news/06-03-2025/inside-the-mind-of-a-pro-adrian-mateos-on-day-1-of-the-2024-wsop-main-event</x:v>
      </x:c>
      <x:c r="AH18" s="129" t="str">
        <x:v>https://www.youtube.com/watch?v=LOzYpTgw6n0</x:v>
      </x:c>
      <x:c r="AI18" s="129" t="str">
        <x:v>Pocket sixes, positions, pot sizes and all betting decisions are explicit; card images did not survive text parsing.</x:v>
      </x:c>
    </x:row>
    <x:row r="19">
      <x:c r="A19" s="129" t="str">
        <x:v>AM-010</x:v>
      </x:c>
      <x:c r="B19" s="129" t="str">
        <x:v>Adrián Mateos</x:v>
      </x:c>
      <x:c r="C19" s="129" t="str">
        <x:v>Inside the Mind of a Pro — 2024 WSOP</x:v>
      </x:c>
      <x:c r="D19" s="129" t="str">
        <x:v>EP03</x:v>
      </x:c>
      <x:c r="E19" s="129" t="str"/>
      <x:c r="F19" s="129" t="n">
        <x:v>2024</x:v>
      </x:c>
      <x:c r="G19" s="129" t="str">
        <x:v>WSOP Main Event</x:v>
      </x:c>
      <x:c r="H19" s="129" t="str">
        <x:v>Day 1</x:v>
      </x:c>
      <x:c r="I19" s="129" t="str"/>
      <x:c r="J19" s="129" t="str"/>
      <x:c r="K19" s="129" t="str"/>
      <x:c r="L19" s="129" t="str">
        <x:v>~100 effective</x:v>
      </x:c>
      <x:c r="M19" s="129" t="str">
        <x:v>Hijack</x:v>
      </x:c>
      <x:c r="N19" s="129" t="str">
        <x:v>Early position</x:v>
      </x:c>
      <x:c r="O19" s="129" t="str">
        <x:v>K5s</x:v>
      </x:c>
      <x:c r="P19" s="129" t="str">
        <x:v>Unknown</x:v>
      </x:c>
      <x:c r="Q19" s="129" t="str">
        <x:v>A masked early-position player opens; Mateos makes a deliberately loose deep-stack call from the hijack with K5s; big blind also calls.</x:v>
      </x:c>
      <x:c r="R19" s="129" t="str">
        <x:v>Unknown</x:v>
      </x:c>
      <x:c r="S19" s="129" t="str">
        <x:v>Big blind and raiser check; Mateos bets 1,500 into 4,800. Big blind folds and the raiser calls.</x:v>
      </x:c>
      <x:c r="T19" s="129" t="str">
        <x:v>Trips-favoring card for the preflop raiser; exact card unknown</x:v>
      </x:c>
      <x:c r="U19" s="129" t="str">
        <x:v>Villain checks. Mateos considers barreling but checks back because the card improves the raiser's range heavily.</x:v>
      </x:c>
      <x:c r="V19" s="129" t="str">
        <x:v>Four cards to a ten-high straight</x:v>
      </x:c>
      <x:c r="W19" s="129" t="str">
        <x:v>Villain checks. Holding the bottom of his range, Mateos bets 7,700 into 7,800 to represent a straight; villain quickly folds.</x:v>
      </x:c>
      <x:c r="X19" s="129" t="str">
        <x:v>Mateos wins with a near-pot river bluff.</x:v>
      </x:c>
      <x:c r="Y19" s="129" t="str">
        <x:v>Deep speculative call / polarized river bluff</x:v>
      </x:c>
      <x:c r="Z19" s="129" t="str">
        <x:v>Unknown deep-stacked opponent</x:v>
      </x:c>
      <x:c r="AA19" s="129" t="str">
        <x:v>Normal chip EV</x:v>
      </x:c>
      <x:c r="AB19" s="129" t="str">
        <x:v>Mateos identified many automatic folds after the small flop call and used a river where his value range could credibly be almost entirely straights.</x:v>
      </x:c>
      <x:c r="AC19" s="129" t="str">
        <x:v>When you reach the river with the absolute bottom of your range, ask whether the runout gives you a credible polarized story and enough natural folds to justify a large bluff.</x:v>
      </x:c>
      <x:c r="AD19" s="129" t="str">
        <x:v>Partial — exact board and suits need video verification</x:v>
      </x:c>
      <x:c r="AE19" s="129" t="str">
        <x:v>High</x:v>
      </x:c>
      <x:c r="AF19" s="129" t="str">
        <x:v>Full written episode recap</x:v>
      </x:c>
      <x:c r="AG19" s="129" t="str">
        <x:v>https://www.gipsyteam.com/news/06-03-2025/inside-the-mind-of-a-pro-adrian-mateos-on-day-1-of-the-2024-wsop-main-event</x:v>
      </x:c>
      <x:c r="AH19" s="129" t="str">
        <x:v>https://www.youtube.com/watch?v=LOzYpTgw6n0</x:v>
      </x:c>
      <x:c r="AI19" s="129" t="str">
        <x:v>Hero hand, positions, pots, action and outcome are explicit; board ranks were supplied as images in the source.</x:v>
      </x:c>
    </x:row>
  </x:sheetData>
  <x:conditionalFormatting sqref="AE2:AE1000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dataValidations count="1">
    <x:dataValidation type="list" sqref="AE2:AE10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771773a5dd46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28" hidden="0" customWidth="1"/>
    <x:col min="5" max="5" width="34" hidden="0" customWidth="1"/>
    <x:col min="6" max="6" width="32" hidden="0" customWidth="1"/>
    <x:col min="7" max="7" width="48" hidden="0" customWidth="1"/>
    <x:col min="8" max="8" width="18" hidden="0" customWidth="1"/>
    <x:col min="9" max="9" width="58" hidden="0" customWidth="1"/>
    <x:col min="10" max="10" width="50" hidden="0" customWidth="1"/>
  </x:cols>
  <x:sheetData>
    <x:row r="1" ht="36" customHeight="1">
      <x:c r="A1" s="118" t="str">
        <x:v>Player</x:v>
      </x:c>
      <x:c r="B1" s="118" t="str">
        <x:v>Episode</x:v>
      </x:c>
      <x:c r="C1" s="118" t="str">
        <x:v>Primary_Focus</x:v>
      </x:c>
      <x:c r="D1" s="118" t="str">
        <x:v>Verified_Stage</x:v>
      </x:c>
      <x:c r="E1" s="118" t="str">
        <x:v>Starting_or_Known_Stack</x:v>
      </x:c>
      <x:c r="F1" s="118" t="str">
        <x:v>Known_Field_Context</x:v>
      </x:c>
      <x:c r="G1" s="118" t="str">
        <x:v>Research_Status</x:v>
      </x:c>
      <x:c r="H1" s="118" t="str">
        <x:v>Hands_Extracted_Count</x:v>
      </x:c>
      <x:c r="I1" s="118" t="str">
        <x:v>Video_or_Primary_URL</x:v>
      </x:c>
      <x:c r="J1" s="118" t="str">
        <x:v>Notes</x:v>
      </x:c>
    </x:row>
    <x:row r="2">
      <x:c r="A2" s="111" t="str">
        <x:v>Adrián Mateos</x:v>
      </x:c>
      <x:c r="B2" s="111" t="str">
        <x:v>EP03</x:v>
      </x:c>
      <x:c r="C2" s="111" t="str">
        <x:v>Day 1 deep-stack exploitation</x:v>
      </x:c>
      <x:c r="D2" s="111" t="str">
        <x:v>Day 1</x:v>
      </x:c>
      <x:c r="E2" s="111" t="str">
        <x:v>125,000; 200bb+</x:v>
      </x:c>
      <x:c r="F2" s="111" t="str">
        <x:v>Final level of Day 1</x:v>
      </x:c>
      <x:c r="G2" s="111" t="str">
        <x:v>Expanded extraction complete from full written recap</x:v>
      </x:c>
      <x:c r="H2" s="111" t="n">
        <x:v>8</x:v>
      </x:c>
      <x:c r="I2" s="111" t="str">
        <x:v>https://www.youtube.com/watch?v=LOzYpTgw6n0</x:v>
      </x:c>
      <x:c r="J2" s="111" t="str">
        <x:v>Eight strategically meaningful hands captured from EP03. Exact image-only boards still require video verification.</x:v>
      </x:c>
    </x:row>
    <x:row r="3">
      <x:c r="A3" s="111" t="str">
        <x:v>Adrián Mateos</x:v>
      </x:c>
      <x:c r="B3" s="111" t="str">
        <x:v>EP04</x:v>
      </x:c>
      <x:c r="C3" s="111" t="str">
        <x:v>Day 2 opening</x:v>
      </x:c>
      <x:c r="D3" s="111" t="str">
        <x:v>Day 2</x:v>
      </x:c>
      <x:c r="E3" s="111" t="str">
        <x:v>143,000 at 400/800</x:v>
      </x:c>
      <x:c r="F3" s="111" t="str">
        <x:v>Table leader</x:v>
      </x:c>
      <x:c r="G3" s="111" t="str">
        <x:v>Episode mapped; transcript-level hand extraction pending</x:v>
      </x:c>
      <x:c r="H3" s="111" t="n">
        <x:v>0</x:v>
      </x:c>
      <x:c r="I3" s="111" t="str">
        <x:v>https://www.pokertube.com/video/inside-the-mind-of-a-pro-2024-wsop-ep04-adrian-mateos</x:v>
      </x:c>
      <x:c r="J3" s="111" t="str"/>
    </x:row>
    <x:row r="4">
      <x:c r="A4" s="111" t="str">
        <x:v>Adrián Mateos</x:v>
      </x:c>
      <x:c r="B4" s="111" t="str">
        <x:v>EP05</x:v>
      </x:c>
      <x:c r="C4" s="111" t="str">
        <x:v>Very deep Day 2</x:v>
      </x:c>
      <x:c r="D4" s="111" t="str">
        <x:v>Day 2</x:v>
      </x:c>
      <x:c r="E4" s="111" t="str">
        <x:v>~180bb</x:v>
      </x:c>
      <x:c r="F4" s="111" t="str"/>
      <x:c r="G4" s="111" t="str">
        <x:v>Episode mapped; transcript-level hand extraction pending</x:v>
      </x:c>
      <x:c r="H4" s="111" t="n">
        <x:v>0</x:v>
      </x:c>
      <x:c r="I4" s="111" t="str">
        <x:v>https://www.youtube.com/watch?v=4RFOlbCTNZE</x:v>
      </x:c>
      <x:c r="J4" s="111" t="str"/>
    </x:row>
    <x:row r="5">
      <x:c r="A5" s="111" t="str">
        <x:v>Adrián Mateos</x:v>
      </x:c>
      <x:c r="B5" s="111" t="str">
        <x:v>EP06</x:v>
      </x:c>
      <x:c r="C5" s="111" t="str">
        <x:v>Pressure with huge stack</x:v>
      </x:c>
      <x:c r="D5" s="111" t="str">
        <x:v>Day 2</x:v>
      </x:c>
      <x:c r="E5" s="111" t="str">
        <x:v>&gt;250,000 at 600/1,200</x:v>
      </x:c>
      <x:c r="F5" s="111" t="str">
        <x:v>Second half of Day 2</x:v>
      </x:c>
      <x:c r="G5" s="111" t="str">
        <x:v>Episode mapped; transcript-level hand extraction pending</x:v>
      </x:c>
      <x:c r="H5" s="111" t="n">
        <x:v>0</x:v>
      </x:c>
      <x:c r="I5" s="111" t="str">
        <x:v>https://www.youtube.com/watch?v=0vEj-T_BjHg</x:v>
      </x:c>
      <x:c r="J5" s="111" t="str"/>
    </x:row>
    <x:row r="6">
      <x:c r="A6" s="111" t="str">
        <x:v>Adrián Mateos</x:v>
      </x:c>
      <x:c r="B6" s="111" t="str">
        <x:v>EP07</x:v>
      </x:c>
      <x:c r="C6" s="111" t="str">
        <x:v>Transition to next day</x:v>
      </x:c>
      <x:c r="D6" s="111" t="str">
        <x:v>Day 3 candidate</x:v>
      </x:c>
      <x:c r="E6" s="111" t="str">
        <x:v>3,617 players remain at episode start (reported by Pokeren.nl)</x:v>
      </x:c>
      <x:c r="F6" s="111" t="str">
        <x:v>Large field still far from money</x:v>
      </x:c>
      <x:c r="G6" s="111" t="str">
        <x:v>Episode mapped; transcript-level hand extraction pending</x:v>
      </x:c>
      <x:c r="H6" s="111" t="n">
        <x:v>0</x:v>
      </x:c>
      <x:c r="I6" s="111" t="str">
        <x:v>https://www.youtube.com/watch?v=MlU7Ej5IU54</x:v>
      </x:c>
      <x:c r="J6" s="111" t="str">
        <x:v>Stage label should be verified against the video intro.</x:v>
      </x:c>
    </x:row>
    <x:row r="7">
      <x:c r="A7" s="111" t="str">
        <x:v>Adrián Mateos</x:v>
      </x:c>
      <x:c r="B7" s="111" t="str">
        <x:v>EP08</x:v>
      </x:c>
      <x:c r="C7" s="111" t="str">
        <x:v>Table control with 500k</x:v>
      </x:c>
      <x:c r="D7" s="111" t="str">
        <x:v>Day 3</x:v>
      </x:c>
      <x:c r="E7" s="111" t="str">
        <x:v>500,000 at 1,500/3,000</x:v>
      </x:c>
      <x:c r="F7" s="111" t="str">
        <x:v>Biggest stack so far</x:v>
      </x:c>
      <x:c r="G7" s="111" t="str">
        <x:v>Candidate hand identified; exact street extraction pending</x:v>
      </x:c>
      <x:c r="H7" s="111" t="n">
        <x:v>0</x:v>
      </x:c>
      <x:c r="I7" s="111" t="str">
        <x:v>https://www.poker.org/poker-videos/poker-vlogs/inside-the-mind-of-a-pro-2024-wsop-ep08-adrian-mateos-aRTaa1t80vkQ/</x:v>
      </x:c>
      <x:c r="J7" s="111" t="str">
        <x:v>Official 'Route 66' article identifies another pocket-sixes hand that boosted Mateos at the start of Day 3; exact cards/action still need video extraction.</x:v>
      </x:c>
    </x:row>
    <x:row r="8">
      <x:c r="A8" s="111" t="str">
        <x:v>Adrián Mateos</x:v>
      </x:c>
      <x:c r="B8" s="111" t="str">
        <x:v>EP09</x:v>
      </x:c>
      <x:c r="C8" s="111" t="str">
        <x:v>Deep-stack continuation</x:v>
      </x:c>
      <x:c r="D8" s="111" t="str">
        <x:v>Day 3/4 transition candidate</x:v>
      </x:c>
      <x:c r="E8" s="111" t="str"/>
      <x:c r="F8" s="111" t="str"/>
      <x:c r="G8" s="111" t="str">
        <x:v>Candidate stack-building hand identified; exact street extraction pending</x:v>
      </x:c>
      <x:c r="H8" s="111" t="n">
        <x:v>0</x:v>
      </x:c>
      <x:c r="I8" s="111" t="str">
        <x:v>https://www.youtube.com/watch?v=6yz7LhuVDt0</x:v>
      </x:c>
      <x:c r="J8" s="111" t="str">
        <x:v>Official 'No mercy!' article says a key hand took Mateos above 550,000 entering the second half of Day 3; exact hole cards and street action remain unverified.</x:v>
      </x:c>
    </x:row>
    <x:row r="9">
      <x:c r="A9" s="111" t="str">
        <x:v>Adrián Mateos</x:v>
      </x:c>
      <x:c r="B9" s="111" t="str">
        <x:v>EP10</x:v>
      </x:c>
      <x:c r="C9" s="111" t="str">
        <x:v>Deep-run continuation</x:v>
      </x:c>
      <x:c r="D9" s="111" t="str">
        <x:v>Day 4 candidate</x:v>
      </x:c>
      <x:c r="E9" s="111" t="str"/>
      <x:c r="F9" s="111" t="str"/>
      <x:c r="G9" s="111" t="str">
        <x:v>Episode mapped; transcript-level hand extraction pending</x:v>
      </x:c>
      <x:c r="H9" s="111" t="n">
        <x:v>0</x:v>
      </x:c>
      <x:c r="I9" s="111" t="str">
        <x:v>https://www.youtube.com/watch?v=OqnXXMfS2po</x:v>
      </x:c>
      <x:c r="J9" s="111" t="str"/>
    </x:row>
    <x:row r="10">
      <x:c r="A10" s="111" t="str">
        <x:v>Adrián Mateos</x:v>
      </x:c>
      <x:c r="B10" s="111" t="str">
        <x:v>EP11</x:v>
      </x:c>
      <x:c r="C10" s="111" t="str">
        <x:v>Bubble/payday pressure</x:v>
      </x:c>
      <x:c r="D10" s="111" t="str">
        <x:v>Money bubble / ITM transition</x:v>
      </x:c>
      <x:c r="E10" s="111" t="str"/>
      <x:c r="F10" s="111" t="str"/>
      <x:c r="G10" s="111" t="str">
        <x:v>Episode mapped; transcript-level hand extraction pending</x:v>
      </x:c>
      <x:c r="H10" s="111" t="n">
        <x:v>0</x:v>
      </x:c>
      <x:c r="I10" s="111" t="str">
        <x:v>https://www.youtube.com/watch?v=fz2EHsuBfDo</x:v>
      </x:c>
      <x:c r="J10" s="111" t="str">
        <x:v>Official Winamax page describes this episode as payday in the Main Event.</x:v>
      </x:c>
    </x:row>
    <x:row r="11">
      <x:c r="A11" s="111" t="str">
        <x:v>Adrián Mateos</x:v>
      </x:c>
      <x:c r="B11" s="111" t="str">
        <x:v>EP12</x:v>
      </x:c>
      <x:c r="C11" s="111" t="str">
        <x:v>In-the-money with leverage</x:v>
      </x:c>
      <x:c r="D11" s="111" t="str">
        <x:v>ITM</x:v>
      </x:c>
      <x:c r="E11" s="111" t="str">
        <x:v>~150bb</x:v>
      </x:c>
      <x:c r="F11" s="111" t="str">
        <x:v>Main Event in the money</x:v>
      </x:c>
      <x:c r="G11" s="111" t="str">
        <x:v>Episode mapped; transcript-level hand extraction pending</x:v>
      </x:c>
      <x:c r="H11" s="111" t="n">
        <x:v>0</x:v>
      </x:c>
      <x:c r="I11" s="111" t="str">
        <x:v>https://www.youtube.com/watch?v=FLCfOr0krcQ</x:v>
      </x:c>
      <x:c r="J11" s="111" t="str"/>
    </x:row>
    <x:row r="12">
      <x:c r="A12" s="111" t="str">
        <x:v>Adrián Mateos</x:v>
      </x:c>
      <x:c r="B12" s="111" t="str">
        <x:v>EP13</x:v>
      </x:c>
      <x:c r="C12" s="111" t="str">
        <x:v>Deep-run continuation</x:v>
      </x:c>
      <x:c r="D12" s="111" t="str">
        <x:v>Day 4 / pre-Day 5 candidate</x:v>
      </x:c>
      <x:c r="E12" s="111" t="str"/>
      <x:c r="F12" s="111" t="str"/>
      <x:c r="G12" s="111" t="str">
        <x:v>Episode mapped; transcript-level hand extraction pending</x:v>
      </x:c>
      <x:c r="H12" s="111" t="n">
        <x:v>0</x:v>
      </x:c>
      <x:c r="I12" s="111" t="str">
        <x:v>https://www.youtube.com/playlist?list=PLuf_yjeun6pIpgdqCFHmnS7d1bsbBRQGn</x:v>
      </x:c>
      <x:c r="J12" s="111" t="str">
        <x:v>Use playlist until exact direct URL is captured.</x:v>
      </x:c>
    </x:row>
    <x:row r="13">
      <x:c r="A13" s="111" t="str">
        <x:v>Adrián Mateos</x:v>
      </x:c>
      <x:c r="B13" s="111" t="str">
        <x:v>EP14</x:v>
      </x:c>
      <x:c r="C13" s="111" t="str">
        <x:v>Start of Day 5 among chip leaders</x:v>
      </x:c>
      <x:c r="D13" s="111" t="str">
        <x:v>Day 5</x:v>
      </x:c>
      <x:c r="E13" s="111" t="str">
        <x:v>Among chip leaders</x:v>
      </x:c>
      <x:c r="F13" s="111" t="str">
        <x:v>Over 95% of field eliminated</x:v>
      </x:c>
      <x:c r="G13" s="111" t="str">
        <x:v>Two iconic hands extracted; additional episode hands pending</x:v>
      </x:c>
      <x:c r="H13" s="111" t="n">
        <x:v>2</x:v>
      </x:c>
      <x:c r="I13" s="111" t="str">
        <x:v>https://www.youtube.com/watch?v=GhzqcTPZP-A</x:v>
      </x:c>
      <x:c r="J13" s="111" t="str">
        <x:v>KK hero fold vs AA and AA vs AKs bad beat captured.</x:v>
      </x:c>
    </x:row>
    <x:row r="14">
      <x:c r="A14" s="113" t="str">
        <x:v>Leo Margets</x:v>
      </x:c>
      <x:c r="B14" s="113" t="str">
        <x:v>EP11</x:v>
      </x:c>
      <x:c r="C14" s="113" t="str">
        <x:v>Direct bubble navigation</x:v>
      </x:c>
      <x:c r="D14" s="113" t="str">
        <x:v>Bubble</x:v>
      </x:c>
      <x:c r="E14" s="113" t="str">
        <x:v>383,000 at 4,000/8,000 (~48bb)</x:v>
      </x:c>
      <x:c r="F14" s="113" t="str">
        <x:v>1,476 left; 1,465 paid</x:v>
      </x:c>
      <x:c r="G14" s="113" t="str">
        <x:v>Stage mapped; hand-level extraction pending</x:v>
      </x:c>
      <x:c r="H14" s="113" t="n">
        <x:v>1</x:v>
      </x:c>
      <x:c r="I14" s="113" t="str">
        <x:v>https://www.youtube.com/watch?v=mi0LXjq4dCg</x:v>
      </x:c>
      <x:c r="J14" s="113" t="str">
        <x:v>Stage-strategy row LM-001 captured.</x:v>
      </x:c>
    </x:row>
    <x:row r="15">
      <x:c r="A15" s="113" t="str">
        <x:v>Leo Margets</x:v>
      </x:c>
      <x:c r="B15" s="113" t="str">
        <x:v>EP12</x:v>
      </x:c>
      <x:c r="C15" s="113" t="str">
        <x:v>Post-bubble / 1,000+ remain</x:v>
      </x:c>
      <x:c r="D15" s="113" t="str">
        <x:v>ITM</x:v>
      </x:c>
      <x:c r="E15" s="113" t="str">
        <x:v>Stack growing</x:v>
      </x:c>
      <x:c r="F15" s="113" t="str">
        <x:v>Over 1,000 players left</x:v>
      </x:c>
      <x:c r="G15" s="113" t="str">
        <x:v>Episode mapped; transcript-level hand extraction pending</x:v>
      </x:c>
      <x:c r="H15" s="113" t="n">
        <x:v>0</x:v>
      </x:c>
      <x:c r="I15" s="113" t="str">
        <x:v>https://www.youtube.com/watch?v=B_OCO91w3F4</x:v>
      </x:c>
      <x:c r="J15" s="113" t="str"/>
    </x:row>
    <x:row r="16">
      <x:c r="A16" s="113" t="str">
        <x:v>Leo Margets</x:v>
      </x:c>
      <x:c r="B16" s="113" t="str">
        <x:v>EP13</x:v>
      </x:c>
      <x:c r="C16" s="113" t="str">
        <x:v>ITM continuation</x:v>
      </x:c>
      <x:c r="D16" s="113" t="str">
        <x:v>ITM</x:v>
      </x:c>
      <x:c r="E16" s="113" t="str"/>
      <x:c r="F16" s="113" t="str"/>
      <x:c r="G16" s="113" t="str">
        <x:v>Episode mapped; transcript-level hand extraction pending</x:v>
      </x:c>
      <x:c r="H16" s="113" t="n">
        <x:v>0</x:v>
      </x:c>
      <x:c r="I16" s="113" t="str">
        <x:v>https://www.youtube.com/playlist?list=PLuf_yjeun6pJFfxalflKHhbxkJFbxeQr3</x:v>
      </x:c>
      <x:c r="J16" s="113" t="str"/>
    </x:row>
    <x:row r="17">
      <x:c r="A17" s="113" t="str">
        <x:v>Leo Margets</x:v>
      </x:c>
      <x:c r="B17" s="113" t="str">
        <x:v>EP14</x:v>
      </x:c>
      <x:c r="C17" s="113" t="str">
        <x:v>ITM continuation</x:v>
      </x:c>
      <x:c r="D17" s="113" t="str">
        <x:v>Day 5 candidate</x:v>
      </x:c>
      <x:c r="E17" s="113" t="str"/>
      <x:c r="F17" s="113" t="str"/>
      <x:c r="G17" s="113" t="str">
        <x:v>Episode mapped; transcript-level hand extraction pending</x:v>
      </x:c>
      <x:c r="H17" s="113" t="n">
        <x:v>0</x:v>
      </x:c>
      <x:c r="I17" s="113" t="str">
        <x:v>https://www.youtube.com/playlist?list=PLuf_yjeun6pJFfxalflKHhbxkJFbxeQr3</x:v>
      </x:c>
      <x:c r="J17" s="113" t="str"/>
    </x:row>
    <x:row r="18">
      <x:c r="A18" s="113" t="str">
        <x:v>Leo Margets</x:v>
      </x:c>
      <x:c r="B18" s="113" t="str">
        <x:v>EP15</x:v>
      </x:c>
      <x:c r="C18" s="113" t="str">
        <x:v>Late Day 5 / deep run</x:v>
      </x:c>
      <x:c r="D18" s="113" t="str">
        <x:v>Day 5 candidate</x:v>
      </x:c>
      <x:c r="E18" s="113" t="str"/>
      <x:c r="F18" s="113" t="str"/>
      <x:c r="G18" s="113" t="str">
        <x:v>Episode mapped; transcript-level hand extraction pending</x:v>
      </x:c>
      <x:c r="H18" s="113" t="n">
        <x:v>0</x:v>
      </x:c>
      <x:c r="I18" s="113" t="str">
        <x:v>https://www.youtube.com/playlist?list=PLuf_yjeun6pJFfxalflKHhbxkJFbxeQr3</x:v>
      </x:c>
      <x:c r="J18" s="113" t="str"/>
    </x:row>
    <x:row r="19">
      <x:c r="A19" s="113" t="str">
        <x:v>Leo Margets</x:v>
      </x:c>
      <x:c r="B19" s="113" t="str">
        <x:v>EP16</x:v>
      </x:c>
      <x:c r="C19" s="113" t="str">
        <x:v>Start of Day 6</x:v>
      </x:c>
      <x:c r="D19" s="113" t="str">
        <x:v>Last 199</x:v>
      </x:c>
      <x:c r="E19" s="113" t="str">
        <x:v>2.8M (~56bb)</x:v>
      </x:c>
      <x:c r="F19" s="113" t="str">
        <x:v>199 players remain</x:v>
      </x:c>
      <x:c r="G19" s="113" t="str">
        <x:v>Episode mapped; transcript-level hand extraction pending</x:v>
      </x:c>
      <x:c r="H19" s="113" t="n">
        <x:v>0</x:v>
      </x:c>
      <x:c r="I19" s="113" t="str">
        <x:v>https://www.youtube.com/playlist?list=PLuf_yjeun6pJFfxalflKHhbxkJFbxeQr3</x:v>
      </x:c>
      <x:c r="J19" s="113" t="str"/>
    </x:row>
    <x:row r="20">
      <x:c r="A20" s="113" t="str">
        <x:v>Leo Margets</x:v>
      </x:c>
      <x:c r="B20" s="113" t="str">
        <x:v>EP17</x:v>
      </x:c>
      <x:c r="C20" s="113" t="str">
        <x:v>Day 6 continuation</x:v>
      </x:c>
      <x:c r="D20" s="113" t="str">
        <x:v>Day 6</x:v>
      </x:c>
      <x:c r="E20" s="113" t="str"/>
      <x:c r="F20" s="113" t="str">
        <x:v>Stack continuing to grow</x:v>
      </x:c>
      <x:c r="G20" s="113" t="str">
        <x:v>Episode mapped; transcript-level hand extraction pending</x:v>
      </x:c>
      <x:c r="H20" s="113" t="n">
        <x:v>0</x:v>
      </x:c>
      <x:c r="I20" s="113" t="str">
        <x:v>https://www.youtube.com/watch?v=9f9YeF25HgQ</x:v>
      </x:c>
      <x:c r="J20" s="113" t="str"/>
    </x:row>
    <x:row r="21">
      <x:c r="A21" s="113" t="str">
        <x:v>Leo Margets</x:v>
      </x:c>
      <x:c r="B21" s="113" t="str">
        <x:v>EP18</x:v>
      </x:c>
      <x:c r="C21" s="113" t="str">
        <x:v>Top 1%</x:v>
      </x:c>
      <x:c r="D21" s="113" t="str">
        <x:v>Last 93</x:v>
      </x:c>
      <x:c r="E21" s="113" t="str"/>
      <x:c r="F21" s="113" t="str">
        <x:v>93 remain</x:v>
      </x:c>
      <x:c r="G21" s="113" t="str">
        <x:v>Episode mapped; transcript-level hand extraction pending</x:v>
      </x:c>
      <x:c r="H21" s="113" t="n">
        <x:v>0</x:v>
      </x:c>
      <x:c r="I21" s="113" t="str">
        <x:v>https://www.youtube.com/watch?v=VslLvYaEhXQ</x:v>
      </x:c>
      <x:c r="J21" s="113" t="str"/>
    </x:row>
    <x:row r="22">
      <x:c r="A22" s="113" t="str">
        <x:v>Leo Margets</x:v>
      </x:c>
      <x:c r="B22" s="113" t="str">
        <x:v>EP19</x:v>
      </x:c>
      <x:c r="C22" s="113" t="str">
        <x:v>Start of Day 7 / compressed field</x:v>
      </x:c>
      <x:c r="D22" s="113" t="str">
        <x:v>Last 57</x:v>
      </x:c>
      <x:c r="E22" s="113" t="str">
        <x:v>Medium/tricky stack</x:v>
      </x:c>
      <x:c r="F22" s="113" t="str">
        <x:v>57 remain</x:v>
      </x:c>
      <x:c r="G22" s="113" t="str">
        <x:v>Candidate public hands captured; timestamp verification pending</x:v>
      </x:c>
      <x:c r="H22" s="113" t="n">
        <x:v>1</x:v>
      </x:c>
      <x:c r="I22" s="113" t="str">
        <x:v>https://www.youtube.com/watch?v=nH1Qt2UiV84</x:v>
      </x:c>
      <x:c r="J22" s="113" t="str">
        <x:v>LM-002 likely falls in EP19–EP21 range; exact timestamp not yet verified.</x:v>
      </x:c>
    </x:row>
    <x:row r="23">
      <x:c r="A23" s="113" t="str">
        <x:v>Leo Margets</x:v>
      </x:c>
      <x:c r="B23" s="113" t="str">
        <x:v>EP20</x:v>
      </x:c>
      <x:c r="C23" s="113" t="str">
        <x:v>High-pressure deep run</x:v>
      </x:c>
      <x:c r="D23" s="113" t="str">
        <x:v>Last 42</x:v>
      </x:c>
      <x:c r="E23" s="113" t="str">
        <x:v>~30bb</x:v>
      </x:c>
      <x:c r="F23" s="113" t="str">
        <x:v>42 remain</x:v>
      </x:c>
      <x:c r="G23" s="113" t="str">
        <x:v>Candidate public hands captured; timestamp verification pending</x:v>
      </x:c>
      <x:c r="H23" s="113" t="n">
        <x:v>0</x:v>
      </x:c>
      <x:c r="I23" s="113" t="str">
        <x:v>https://www.youtube.com/watch?v=VLaRwblC8Bc</x:v>
      </x:c>
      <x:c r="J23" s="113" t="str"/>
    </x:row>
    <x:row r="24">
      <x:c r="A24" s="113" t="str">
        <x:v>Leo Margets</x:v>
      </x:c>
      <x:c r="B24" s="113" t="str">
        <x:v>EP21</x:v>
      </x:c>
      <x:c r="C24" s="113" t="str">
        <x:v>Play toward Day 8</x:v>
      </x:c>
      <x:c r="D24" s="113" t="str">
        <x:v>Last 32</x:v>
      </x:c>
      <x:c r="E24" s="113" t="str"/>
      <x:c r="F24" s="113" t="str">
        <x:v>32 remain; 24 advance to Day 8</x:v>
      </x:c>
      <x:c r="G24" s="113" t="str">
        <x:v>Candidate public hands captured; timestamp verification pending</x:v>
      </x:c>
      <x:c r="H24" s="113" t="n">
        <x:v>0</x:v>
      </x:c>
      <x:c r="I24" s="113" t="str">
        <x:v>https://www.youtube.com/watch?v=vPxl2mPDuVU</x:v>
      </x:c>
      <x:c r="J24" s="113" t="str"/>
    </x:row>
    <x:row r="25">
      <x:c r="A25" s="113" t="str">
        <x:v>Leo Margets</x:v>
      </x:c>
      <x:c r="B25" s="113" t="str">
        <x:v>EP22</x:v>
      </x:c>
      <x:c r="C25" s="113" t="str">
        <x:v>Historic personal best / Day 8 threshold</x:v>
      </x:c>
      <x:c r="D25" s="113" t="str">
        <x:v>Last 24 area</x:v>
      </x:c>
      <x:c r="E25" s="113" t="str"/>
      <x:c r="F25" s="113" t="str"/>
      <x:c r="G25" s="113" t="str">
        <x:v>Candidate public hands captured; timestamp verification pending</x:v>
      </x:c>
      <x:c r="H25" s="113" t="n">
        <x:v>0</x:v>
      </x:c>
      <x:c r="I25" s="113" t="str">
        <x:v>https://www.youtube.com/watch?v=ldXSWz5PFHk</x:v>
      </x:c>
      <x:c r="J25" s="113" t="str"/>
    </x:row>
    <x:row r="26">
      <x:c r="A26" s="113" t="str">
        <x:v>Leo Margets</x:v>
      </x:c>
      <x:c r="B26" s="113" t="str">
        <x:v>EP23</x:v>
      </x:c>
      <x:c r="C26" s="113" t="str">
        <x:v>Day 8 pressure</x:v>
      </x:c>
      <x:c r="D26" s="113" t="str">
        <x:v>Last 17 area</x:v>
      </x:c>
      <x:c r="E26" s="113" t="str">
        <x:v>~23bb reported in public coverage</x:v>
      </x:c>
      <x:c r="F26" s="113" t="str">
        <x:v>Final-table dream alive</x:v>
      </x:c>
      <x:c r="G26" s="113" t="str">
        <x:v>Candidate public hands captured; timestamp verification pending</x:v>
      </x:c>
      <x:c r="H26" s="113" t="n">
        <x:v>0</x:v>
      </x:c>
      <x:c r="I26" s="113" t="str">
        <x:v>https://www.youtube.com/watch?v=d8Eav3Bufr4</x:v>
      </x:c>
      <x:c r="J26" s="113" t="str"/>
    </x:row>
    <x:row r="27">
      <x:c r="A27" s="113" t="str">
        <x:v>Leo Margets</x:v>
      </x:c>
      <x:c r="B27" s="113" t="str">
        <x:v>EP24</x:v>
      </x:c>
      <x:c r="C27" s="113" t="str">
        <x:v>Final-table approach</x:v>
      </x:c>
      <x:c r="D27" s="113" t="str">
        <x:v>Last 16 to 10 area</x:v>
      </x:c>
      <x:c r="E27" s="113" t="str"/>
      <x:c r="F27" s="113" t="str"/>
      <x:c r="G27" s="113" t="str">
        <x:v>Major Day 8 hands captured; exact episode timestamps pending</x:v>
      </x:c>
      <x:c r="H27" s="113" t="n">
        <x:v>3</x:v>
      </x:c>
      <x:c r="I27" s="113" t="str">
        <x:v>https://www.youtube.com/watch?v=Npca_-t-BT4</x:v>
      </x:c>
      <x:c r="J27" s="113" t="str">
        <x:v>LM-003 to LM-006 span this late-stage range; episode-by-episode placement still to verify.</x:v>
      </x:c>
    </x:row>
    <x:row r="28">
      <x:c r="A28" s="113" t="str">
        <x:v>Leo Margets</x:v>
      </x:c>
      <x:c r="B28" s="113" t="str">
        <x:v>EP25</x:v>
      </x:c>
      <x:c r="C28" s="113" t="str">
        <x:v>Final table entry</x:v>
      </x:c>
      <x:c r="D28" s="113" t="str">
        <x:v>Final table</x:v>
      </x:c>
      <x:c r="E28" s="113" t="str">
        <x:v>53.4M (~33bb)</x:v>
      </x:c>
      <x:c r="F28" s="113" t="str">
        <x:v>9 players remain</x:v>
      </x:c>
      <x:c r="G28" s="113" t="str">
        <x:v>Stage mapped; final-table hand extraction pending</x:v>
      </x:c>
      <x:c r="H28" s="113" t="n">
        <x:v>0</x:v>
      </x:c>
      <x:c r="I28" s="113" t="str">
        <x:v>https://www.youtube.com/watch?v=dUfEppQJBLA</x:v>
      </x:c>
      <x:c r="J28" s="113" t="str"/>
    </x:row>
    <x:row r="29">
      <x:c r="A29" s="113" t="str">
        <x:v>Leo Margets</x:v>
      </x:c>
      <x:c r="B29" s="113" t="str">
        <x:v>EP26</x:v>
      </x:c>
      <x:c r="C29" s="113" t="str">
        <x:v>Final-table conclusion</x:v>
      </x:c>
      <x:c r="D29" s="113" t="str">
        <x:v>Final table / 7th place</x:v>
      </x:c>
      <x:c r="E29" s="113" t="str"/>
      <x:c r="F29" s="113" t="str"/>
      <x:c r="G29" s="113" t="str">
        <x:v>Elimination hand extracted; other final-table decisions pending</x:v>
      </x:c>
      <x:c r="H29" s="113" t="n">
        <x:v>1</x:v>
      </x:c>
      <x:c r="I29" s="113" t="str">
        <x:v>https://www.youtube.com/playlist?list=PLuf_yjeun6pJFfxalflKHhbxkJFbxeQr3</x:v>
      </x:c>
      <x:c r="J29" s="113" t="str">
        <x:v>LM-007 captured.</x:v>
      </x:c>
    </x:row>
  </x:sheetData>
  <x:pageMargins left="0.7" right="0.7" top="0.75" bottom="0.75" header="0.3" footer="0.3"/>
  <x:tableParts count="1">
    <x:tablePart xmlns:r="http://schemas.openxmlformats.org/officeDocument/2006/relationships" r:id="Rb722a10976cb4e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</x:cols>
  <x:sheetData>
    <x:row r="1">
      <x:c r="A1" s="123" t="str">
        <x:v>Tag_Family</x:v>
      </x:c>
      <x:c r="B1" s="123" t="str">
        <x:v>Allowed_Value</x:v>
      </x:c>
      <x:c r="C1" s="123" t="str">
        <x:v>Use</x:v>
      </x:c>
    </x:row>
    <x:row r="2">
      <x:c r="A2" s="22" t="str">
        <x:v>Tournament stage</x:v>
      </x:c>
      <x:c r="B2" s="22" t="str">
        <x:v>Day 1</x:v>
      </x:c>
      <x:c r="C2" s="22" t="str">
        <x:v>Early deep-stack play</x:v>
      </x:c>
    </x:row>
    <x:row r="3">
      <x:c r="A3" s="22" t="str">
        <x:v>Tournament stage</x:v>
      </x:c>
      <x:c r="B3" s="22" t="str">
        <x:v>Day 2</x:v>
      </x:c>
      <x:c r="C3" s="22" t="str">
        <x:v>Deep-stack continuation</x:v>
      </x:c>
    </x:row>
    <x:row r="4">
      <x:c r="A4" s="22" t="str">
        <x:v>Tournament stage</x:v>
      </x:c>
      <x:c r="B4" s="22" t="str">
        <x:v>Bubble</x:v>
      </x:c>
      <x:c r="C4" s="22" t="str">
        <x:v>Direct bubble pressure</x:v>
      </x:c>
    </x:row>
    <x:row r="5">
      <x:c r="A5" s="22" t="str">
        <x:v>Tournament stage</x:v>
      </x:c>
      <x:c r="B5" s="22" t="str">
        <x:v>ITM</x:v>
      </x:c>
      <x:c r="C5" s="22" t="str">
        <x:v>In the money</x:v>
      </x:c>
    </x:row>
    <x:row r="6">
      <x:c r="A6" s="22" t="str">
        <x:v>Tournament stage</x:v>
      </x:c>
      <x:c r="B6" s="22" t="str">
        <x:v>Last 200</x:v>
      </x:c>
      <x:c r="C6" s="22" t="str">
        <x:v>Late deep-run transition</x:v>
      </x:c>
    </x:row>
    <x:row r="7">
      <x:c r="A7" s="22" t="str">
        <x:v>Tournament stage</x:v>
      </x:c>
      <x:c r="B7" s="22" t="str">
        <x:v>Last 50</x:v>
      </x:c>
      <x:c r="C7" s="22" t="str">
        <x:v>High pay-jump pressure</x:v>
      </x:c>
    </x:row>
    <x:row r="8">
      <x:c r="A8" s="22" t="str">
        <x:v>Tournament stage</x:v>
      </x:c>
      <x:c r="B8" s="22" t="str">
        <x:v>Final table</x:v>
      </x:c>
      <x:c r="C8" s="22" t="str">
        <x:v>Extreme ICM</x:v>
      </x:c>
    </x:row>
    <x:row r="9">
      <x:c r="A9" s="22" t="str">
        <x:v>Effective stack</x:v>
      </x:c>
      <x:c r="B9" s="22" t="str">
        <x:v>100bb+</x:v>
      </x:c>
      <x:c r="C9" s="22" t="str">
        <x:v>Very deep</x:v>
      </x:c>
    </x:row>
    <x:row r="10">
      <x:c r="A10" s="22" t="str">
        <x:v>Effective stack</x:v>
      </x:c>
      <x:c r="B10" s="22" t="str">
        <x:v>60-100bb</x:v>
      </x:c>
      <x:c r="C10" s="22" t="str">
        <x:v>Deep</x:v>
      </x:c>
    </x:row>
    <x:row r="11">
      <x:c r="A11" s="22" t="str">
        <x:v>Effective stack</x:v>
      </x:c>
      <x:c r="B11" s="22" t="str">
        <x:v>40-60bb</x:v>
      </x:c>
      <x:c r="C11" s="22" t="str">
        <x:v>Playable medium/deep</x:v>
      </x:c>
    </x:row>
    <x:row r="12">
      <x:c r="A12" s="22" t="str">
        <x:v>Effective stack</x:v>
      </x:c>
      <x:c r="B12" s="22" t="str">
        <x:v>25-40bb</x:v>
      </x:c>
      <x:c r="C12" s="22" t="str">
        <x:v>Medium stack</x:v>
      </x:c>
    </x:row>
    <x:row r="13">
      <x:c r="A13" s="22" t="str">
        <x:v>Effective stack</x:v>
      </x:c>
      <x:c r="B13" s="22" t="str">
        <x:v>15-25bb</x:v>
      </x:c>
      <x:c r="C13" s="22" t="str">
        <x:v>Short-medium</x:v>
      </x:c>
    </x:row>
    <x:row r="14">
      <x:c r="A14" s="22" t="str">
        <x:v>Effective stack</x:v>
      </x:c>
      <x:c r="B14" s="22" t="str">
        <x:v>Sub-15bb</x:v>
      </x:c>
      <x:c r="C14" s="22" t="str">
        <x:v>Short stack / reshove</x:v>
      </x:c>
    </x:row>
    <x:row r="15">
      <x:c r="A15" s="22" t="str">
        <x:v>Spot type</x:v>
      </x:c>
      <x:c r="B15" s="22" t="str">
        <x:v>RFI</x:v>
      </x:c>
      <x:c r="C15" s="22" t="str">
        <x:v>Raise first in</x:v>
      </x:c>
    </x:row>
    <x:row r="16">
      <x:c r="A16" s="22" t="str">
        <x:v>Spot type</x:v>
      </x:c>
      <x:c r="B16" s="22" t="str">
        <x:v>3-bet pot</x:v>
      </x:c>
      <x:c r="C16" s="22" t="str">
        <x:v>Three-bet pot</x:v>
      </x:c>
    </x:row>
    <x:row r="17">
      <x:c r="A17" s="22" t="str">
        <x:v>Spot type</x:v>
      </x:c>
      <x:c r="B17" s="22" t="str">
        <x:v>Squeeze</x:v>
      </x:c>
      <x:c r="C17" s="22" t="str">
        <x:v>Facing or making squeeze</x:v>
      </x:c>
    </x:row>
    <x:row r="18">
      <x:c r="A18" s="22" t="str">
        <x:v>Spot type</x:v>
      </x:c>
      <x:c r="B18" s="22" t="str">
        <x:v>Blind vs blind</x:v>
      </x:c>
      <x:c r="C18" s="22" t="str">
        <x:v>Blind battle</x:v>
      </x:c>
    </x:row>
    <x:row r="19">
      <x:c r="A19" s="22" t="str">
        <x:v>Spot type</x:v>
      </x:c>
      <x:c r="B19" s="22" t="str">
        <x:v>Multiway</x:v>
      </x:c>
      <x:c r="C19" s="22" t="str">
        <x:v>Three or more players</x:v>
      </x:c>
    </x:row>
    <x:row r="20">
      <x:c r="A20" s="22" t="str">
        <x:v>Postflop</x:v>
      </x:c>
      <x:c r="B20" s="22" t="str">
        <x:v>Check-call</x:v>
      </x:c>
      <x:c r="C20" s="22" t="str">
        <x:v>Defensive bluff-catch/value line</x:v>
      </x:c>
    </x:row>
    <x:row r="21">
      <x:c r="A21" s="22" t="str">
        <x:v>Postflop</x:v>
      </x:c>
      <x:c r="B21" s="22" t="str">
        <x:v>Thin value</x:v>
      </x:c>
      <x:c r="C21" s="22" t="str">
        <x:v>Marginal value betting</x:v>
      </x:c>
    </x:row>
    <x:row r="22">
      <x:c r="A22" s="22" t="str">
        <x:v>Postflop</x:v>
      </x:c>
      <x:c r="B22" s="22" t="str">
        <x:v>Hero fold</x:v>
      </x:c>
      <x:c r="C22" s="22" t="str">
        <x:v>Big disciplined fold</x:v>
      </x:c>
    </x:row>
    <x:row r="23">
      <x:c r="A23" s="22" t="str">
        <x:v>Postflop</x:v>
      </x:c>
      <x:c r="B23" s="22" t="str">
        <x:v>Exploit bluff</x:v>
      </x:c>
      <x:c r="C23" s="22" t="str">
        <x:v>Read-driven bluff</x:v>
      </x:c>
    </x:row>
    <x:row r="24">
      <x:c r="A24" s="22" t="str">
        <x:v>Opponent type</x:v>
      </x:c>
      <x:c r="B24" s="22" t="str">
        <x:v>Unknown amateur</x:v>
      </x:c>
      <x:c r="C24" s="22" t="str">
        <x:v>Limited history / recreational indicators</x:v>
      </x:c>
    </x:row>
    <x:row r="25">
      <x:c r="A25" s="22" t="str">
        <x:v>Opponent type</x:v>
      </x:c>
      <x:c r="B25" s="22" t="str">
        <x:v>Competent reg</x:v>
      </x:c>
      <x:c r="C25" s="22" t="str">
        <x:v>Strong regular</x:v>
      </x:c>
    </x:row>
    <x:row r="26">
      <x:c r="A26" s="22" t="str">
        <x:v>Opponent type</x:v>
      </x:c>
      <x:c r="B26" s="22" t="str">
        <x:v>Elite pro</x:v>
      </x:c>
      <x:c r="C26" s="22" t="str">
        <x:v>Top-level professional</x:v>
      </x:c>
    </x:row>
    <x:row r="27">
      <x:c r="A27" s="22" t="str">
        <x:v>Pressure type</x:v>
      </x:c>
      <x:c r="B27" s="22" t="str">
        <x:v>Normal chip EV</x:v>
      </x:c>
      <x:c r="C27" s="22" t="str">
        <x:v>No unusual payout pressure</x:v>
      </x:c>
    </x:row>
    <x:row r="28">
      <x:c r="A28" s="22" t="str">
        <x:v>Pressure type</x:v>
      </x:c>
      <x:c r="B28" s="22" t="str">
        <x:v>Bubble</x:v>
      </x:c>
      <x:c r="C28" s="22" t="str">
        <x:v>Direct money bubble</x:v>
      </x:c>
    </x:row>
    <x:row r="29">
      <x:c r="A29" s="22" t="str">
        <x:v>Pressure type</x:v>
      </x:c>
      <x:c r="B29" s="22" t="str">
        <x:v>Ladder pressure</x:v>
      </x:c>
      <x:c r="C29" s="22" t="str">
        <x:v>Major pay jumps</x:v>
      </x:c>
    </x:row>
    <x:row r="30">
      <x:c r="A30" s="22" t="str">
        <x:v>Pressure type</x:v>
      </x:c>
      <x:c r="B30" s="22" t="str">
        <x:v>Final-table ICM</x:v>
      </x:c>
      <x:c r="C30" s="22" t="str">
        <x:v>Final table</x:v>
      </x:c>
    </x:row>
    <x:row r="31">
      <x:c r="A31" s="22" t="str">
        <x:v>Confidence</x:v>
      </x:c>
      <x:c r="B31" s="22" t="str">
        <x:v>High</x:v>
      </x:c>
      <x:c r="C31" s="22" t="str">
        <x:v>Direct public recap/report with exact or near-exact action</x:v>
      </x:c>
    </x:row>
    <x:row r="32">
      <x:c r="A32" s="22" t="str">
        <x:v>Confidence</x:v>
      </x:c>
      <x:c r="B32" s="22" t="str">
        <x:v>Medium</x:v>
      </x:c>
      <x:c r="C32" s="22" t="str">
        <x:v>Strategic sequence verified but some cards/episode placement remain unresolved</x:v>
      </x:c>
    </x:row>
    <x:row r="33">
      <x:c r="A33" s="22" t="str">
        <x:v>Confidence</x:v>
      </x:c>
      <x:c r="B33" s="22" t="str">
        <x:v>Low</x:v>
      </x:c>
      <x:c r="C33" s="22" t="str">
        <x:v>Inference only; should not be used for final graphics without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ffd26870decb45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6" hidden="0" customWidth="1"/>
    <x:col min="3" max="3" width="60" hidden="0" customWidth="1"/>
  </x:cols>
  <x:sheetData>
    <x:row r="1">
      <x:c r="A1" s="123" t="str">
        <x:v>Source_Name</x:v>
      </x:c>
      <x:c r="B1" s="123" t="str">
        <x:v>URL</x:v>
      </x:c>
      <x:c r="C1" s="123" t="str">
        <x:v>Primary_Use</x:v>
      </x:c>
    </x:row>
    <x:row r="2">
      <x:c r="A2" s="22" t="str">
        <x:v>GipsyTeam — Mateos Day 1 full recap</x:v>
      </x:c>
      <x:c r="B2" s="22" t="str">
        <x:v>https://www.gipsyteam.com/news/06-03-2025/inside-the-mind-of-a-pro-adrian-mateos-on-day-1-of-the-2024-wsop-main-event</x:v>
      </x:c>
      <x:c r="C2" s="22" t="str">
        <x:v>Five street-by-street Mateos hands from EP03</x:v>
      </x:c>
    </x:row>
    <x:row r="3">
      <x:c r="A3" s="22" t="str">
        <x:v>PokerNews — Mateos kings fold / aces cracked</x:v>
      </x:c>
      <x:c r="B3" s="22" t="str">
        <x:v>https://www.pokernews.com/news/2024/07/mateos-kings-fold-wsop-main-event-46510.htm</x:v>
      </x:c>
      <x:c r="C3" s="22" t="str">
        <x:v>Two exact Day 5 hands</x:v>
      </x:c>
    </x:row>
    <x:row r="4">
      <x:c r="A4" s="22" t="str">
        <x:v>PokerFuse — Leo direct bubble recap</x:v>
      </x:c>
      <x:c r="B4" s="22" t="str">
        <x:v>https://pokerfuse.com/the-rail/2026/14/?post=4389</x:v>
      </x:c>
      <x:c r="C4" s="22" t="str">
        <x:v>EP11 direct-bubble stage context</x:v>
      </x:c>
    </x:row>
    <x:row r="5">
      <x:c r="A5" s="22" t="str">
        <x:v>GipsyTeam — 2025 Main Event Day 7 recap</x:v>
      </x:c>
      <x:c r="B5" s="22" t="str">
        <x:v>https://www.gipsyteam.com/news/13-07-2025/main-event-day-7-recap</x:v>
      </x:c>
      <x:c r="C5" s="22" t="str">
        <x:v>Late-stage Leo hands and stage context</x:v>
      </x:c>
    </x:row>
    <x:row r="6">
      <x:c r="A6" s="22" t="str">
        <x:v>GipsyTeam — 2025 Main Event Day 8 recap</x:v>
      </x:c>
      <x:c r="B6" s="22" t="str">
        <x:v>https://www.gipsyteam.com/news/14-07-2025/main-event-day-8-recap</x:v>
      </x:c>
      <x:c r="C6" s="22" t="str">
        <x:v>Late-stage Leo hands and eliminations</x:v>
      </x:c>
    </x:row>
    <x:row r="7">
      <x:c r="A7" s="22" t="str">
        <x:v>PokerOrg — Leo runner-runner flush</x:v>
      </x:c>
      <x:c r="B7" s="22" t="str">
        <x:v>https://www.poker.org/latest-news/crazy-runout-ships-massive-main-event-pot-to-leo-margets-aUt9F0v6JMCG/</x:v>
      </x:c>
      <x:c r="C7" s="22" t="str">
        <x:v>JJ vs AK pivotal hand</x:v>
      </x:c>
    </x:row>
    <x:row r="8">
      <x:c r="A8" s="22" t="str">
        <x:v>PokerNews — final-table race</x:v>
      </x:c>
      <x:c r="B8" s="22" t="str">
        <x:v>https://www.pokernews.com/news/2025/07/michael-mizrachi-on-verge-of-winning-wsop-main-event-49201.htm</x:v>
      </x:c>
      <x:c r="C8" s="22" t="str">
        <x:v>A10s vs 66 elimination</x:v>
      </x:c>
    </x:row>
    <x:row r="9">
      <x:c r="A9" s="22" t="str">
        <x:v>PokerOrg — Leo final-table elimination</x:v>
      </x:c>
      <x:c r="B9" s="22" t="str">
        <x:v>https://www.poker.org/latest-news/monster-flip-shatters-leo-margets-wsop-main-event-dream-aCmmW2h0dgNe/</x:v>
      </x:c>
      <x:c r="C9" s="22" t="str">
        <x:v>Final-table elimination action/context</x:v>
      </x:c>
    </x:row>
    <x:row r="10">
      <x:c r="A10" s="22" t="str">
        <x:v>GipsyTeam GTO Lab</x:v>
      </x:c>
      <x:c r="B10" s="22" t="str">
        <x:v>https://www.gipsyteam.com/news/07-08-2025/balance-gto-lab</x:v>
      </x:c>
      <x:c r="C10" s="22" t="str">
        <x:v>Supplemental exploit/live-read hand</x:v>
      </x:c>
    </x:row>
    <x:row r="11">
      <x:c r="A11" s="22" t="str">
        <x:v>Winamax Europe 2025 playlist</x:v>
      </x:c>
      <x:c r="B11" s="22" t="str">
        <x:v>https://www.youtube.com/playlist?list=PLuf_yjeun6pJFfxalflKHhbxkJFbxeQr3</x:v>
      </x:c>
      <x:c r="C11" s="22" t="str">
        <x:v>Episode mapping and future transcript extraction</x:v>
      </x:c>
    </x:row>
    <x:row r="12">
      <x:c r="A12" s="22" t="str">
        <x:v>Inside the Mind of a Pro all-episodes playlist</x:v>
      </x:c>
      <x:c r="B12" s="22" t="str">
        <x:v>https://www.youtube.com/playlist?list=PLuf_yjeun6pIpgdqCFHmnS7d1bsbBRQGn</x:v>
      </x:c>
      <x:c r="C12" s="22" t="str">
        <x:v>General episode archive</x:v>
      </x:c>
    </x:row>
    <x:row r="13">
      <x:c r="A13" t="str">
        <x:v>Winamax — Inside the Mind of a Pro: on Route 66</x:v>
      </x:c>
      <x:c r="B13" t="str">
        <x:v>https://www.winamax.es/en/news_inside-the-mind-of-a-pro-on-route-66-56793?param=inside-the-mind-of-a-pro-on-route-66-56793</x:v>
      </x:c>
      <x:c r="C13" t="str">
        <x:v>EP08 candidate: pocket sixes at the start of Day 3; full action still requires video extraction</x:v>
      </x:c>
    </x:row>
    <x:row r="14">
      <x:c r="A14" t="str">
        <x:v>Winamax — Inside the Mind of a Pro: no mercy!</x:v>
      </x:c>
      <x:c r="B14" t="str">
        <x:v>https://www.winamax.fr/news_inside-the-mind-of-a-pro-no-mercy-56788?param=inside-the-mind-of-a-pro-no-mercy-56788</x:v>
      </x:c>
      <x:c r="C14" t="str">
        <x:v>EP09 candidate: stack-building hand leading to more than 550,000 chips; full action still requires video extraction</x:v>
      </x:c>
    </x:row>
  </x:sheetData>
  <x:pageMargins left="0.7" right="0.7" top="0.75" bottom="0.75" header="0.3" footer="0.3"/>
  <x:tableParts count="1">
    <x:tablePart xmlns:r="http://schemas.openxmlformats.org/officeDocument/2006/relationships" r:id="R0dffd6413c4949c2"/>
  </x:tableParts>
</x:worksheet>
</file>